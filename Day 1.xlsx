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sant excel\"/>
    </mc:Choice>
  </mc:AlternateContent>
  <xr:revisionPtr revIDLastSave="0" documentId="13_ncr:1_{C20C66B6-017C-4140-B6D1-B06D02F4E4B3}" xr6:coauthVersionLast="47" xr6:coauthVersionMax="47" xr10:uidLastSave="{00000000-0000-0000-0000-000000000000}"/>
  <bookViews>
    <workbookView xWindow="-108" yWindow="-108" windowWidth="23256" windowHeight="12456" xr2:uid="{46C13697-68E7-4F07-AFDC-32E1D3EBF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1" l="1"/>
  <c r="E4" i="1"/>
  <c r="A27" i="1"/>
  <c r="A26" i="1"/>
  <c r="A25" i="1"/>
  <c r="A24" i="1"/>
  <c r="A21" i="1"/>
  <c r="A19" i="1"/>
  <c r="A18" i="1"/>
  <c r="A20" i="1" s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<sst xmlns="http://schemas.openxmlformats.org/spreadsheetml/2006/main" count="7" uniqueCount="2">
  <si>
    <t>Holidays</t>
  </si>
  <si>
    <t>O/P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</si>
</sst>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BD48-5456-478D-B0E4-CBFED5F74291}">
  <dimension ref="A1:H27"/>
  <sheetViews>
    <sheetView tabSelected="1" workbookViewId="0">
      <selection activeCell="A28" sqref="A28"/>
    </sheetView>
  </sheetViews>
  <sheetFormatPr defaultRowHeight="14.4" x14ac:dyDescent="0.3"/>
  <cols>
    <col min="1" max="1" width="15.33203125" bestFit="1" customWidth="1"/>
    <col min="2" max="3" width="10.33203125" bestFit="1" customWidth="1"/>
    <col min="5" max="7" width="10.33203125" bestFit="1" customWidth="1"/>
  </cols>
  <sheetData>
    <row r="1" spans="1:8" x14ac:dyDescent="0.3">
      <c r="A1" s="1">
        <f ca="1">TODAY()</f>
        <v>46058</v>
      </c>
    </row>
    <row r="2" spans="1:8" x14ac:dyDescent="0.3">
      <c r="A2" s="2">
        <f ca="1">NOW()</f>
        <v>46058.370618865738</v>
      </c>
    </row>
    <row r="3" spans="1:8" x14ac:dyDescent="0.3">
      <c r="A3">
        <f ca="1">YEAR(NOW())</f>
        <v>2026</v>
      </c>
      <c r="E3" s="1">
        <v>46074</v>
      </c>
      <c r="F3" s="1">
        <v>46078</v>
      </c>
      <c r="G3" s="1">
        <v>46164</v>
      </c>
      <c r="H3" t="s">
        <v>0</v>
      </c>
    </row>
    <row r="4" spans="1:8" x14ac:dyDescent="0.3">
      <c r="A4">
        <f ca="1">MONTH(NOW())</f>
        <v>2</v>
      </c>
      <c r="E4" s="1">
        <f>WORKDAY.INTL(A22,340,3,E3:G3)</f>
        <v>46502</v>
      </c>
      <c r="F4" t="s">
        <v>1</v>
      </c>
    </row>
    <row r="5" spans="1:8" x14ac:dyDescent="0.3">
      <c r="A5">
        <f ca="1">DAY(NOW())</f>
        <v>5</v>
      </c>
    </row>
    <row r="6" spans="1:8" x14ac:dyDescent="0.3">
      <c r="A6">
        <f ca="1">HOUR(NOW())</f>
        <v>8</v>
      </c>
    </row>
    <row r="7" spans="1:8" x14ac:dyDescent="0.3">
      <c r="A7">
        <f ca="1">MINUTE(NOW())</f>
        <v>53</v>
      </c>
    </row>
    <row r="8" spans="1:8" x14ac:dyDescent="0.3">
      <c r="A8">
        <f ca="1">SECOND(NOW())</f>
        <v>41</v>
      </c>
    </row>
    <row r="9" spans="1:8" x14ac:dyDescent="0.3">
      <c r="A9">
        <f ca="1">SECOND(NOW())</f>
        <v>41</v>
      </c>
    </row>
    <row r="10" spans="1:8" x14ac:dyDescent="0.3">
      <c r="A10">
        <f ca="1">WEEKDAY(NOW())</f>
        <v>5</v>
      </c>
    </row>
    <row r="11" spans="1:8" x14ac:dyDescent="0.3">
      <c r="A11" s="1">
        <f>DATE(2026,12,5)</f>
        <v>46361</v>
      </c>
    </row>
    <row r="12" spans="1:8" x14ac:dyDescent="0.3">
      <c r="A12" s="3">
        <f>TIME(11,14,16)</f>
        <v>0.46824074074074074</v>
      </c>
    </row>
    <row r="13" spans="1:8" x14ac:dyDescent="0.3">
      <c r="A13" s="1">
        <f ca="1">EDATE(NOW(),2)</f>
        <v>46117</v>
      </c>
    </row>
    <row r="14" spans="1:8" x14ac:dyDescent="0.3">
      <c r="A14" s="1">
        <f ca="1">EDATE(NOW(),-2)</f>
        <v>45996</v>
      </c>
    </row>
    <row r="15" spans="1:8" x14ac:dyDescent="0.3">
      <c r="A15" s="1">
        <f ca="1">EOMONTH(NOW(),2)</f>
        <v>46142</v>
      </c>
    </row>
    <row r="16" spans="1:8" x14ac:dyDescent="0.3">
      <c r="A16" s="1">
        <f ca="1">EOMONTH(NOW(),-2)</f>
        <v>46022</v>
      </c>
    </row>
    <row r="17" spans="1:4" x14ac:dyDescent="0.3">
      <c r="A17">
        <f ca="1">WEEKNUM(NOW())</f>
        <v>6</v>
      </c>
    </row>
    <row r="18" spans="1:4" x14ac:dyDescent="0.3">
      <c r="A18" s="1">
        <f>DATE(2025,1,1)</f>
        <v>45658</v>
      </c>
    </row>
    <row r="19" spans="1:4" x14ac:dyDescent="0.3">
      <c r="A19" s="1">
        <f>DATE(2026,4,10)</f>
        <v>46122</v>
      </c>
    </row>
    <row r="20" spans="1:4" x14ac:dyDescent="0.3">
      <c r="A20">
        <f>YEARFRAC(A18,A19)</f>
        <v>1.2749999999999999</v>
      </c>
    </row>
    <row r="21" spans="1:4" x14ac:dyDescent="0.3">
      <c r="A21">
        <f>1.275*12</f>
        <v>15.299999999999999</v>
      </c>
    </row>
    <row r="22" spans="1:4" x14ac:dyDescent="0.3">
      <c r="A22" s="1">
        <v>46023</v>
      </c>
    </row>
    <row r="23" spans="1:4" x14ac:dyDescent="0.3">
      <c r="A23" s="1">
        <v>46053</v>
      </c>
      <c r="B23">
        <f>NETWORKDAYS.INTL(A22,A23,7,B24:C24)</f>
        <v>19</v>
      </c>
      <c r="C23" t="s">
        <v>1</v>
      </c>
    </row>
    <row r="24" spans="1:4" x14ac:dyDescent="0.3">
      <c r="A24">
        <f>NETWORKDAYS(A22,A23)</f>
        <v>22</v>
      </c>
      <c r="B24" s="1">
        <v>46037</v>
      </c>
      <c r="C24" s="1">
        <v>46048</v>
      </c>
      <c r="D24" t="s">
        <v>0</v>
      </c>
    </row>
    <row r="25" spans="1:4" x14ac:dyDescent="0.3">
      <c r="A25">
        <f>NETWORKDAYS.INTL(A22,A23,7,B24:C24)</f>
        <v>19</v>
      </c>
      <c r="B25" t="s">
        <v>1</v>
      </c>
    </row>
    <row r="26" spans="1:4" x14ac:dyDescent="0.3">
      <c r="A26" s="1">
        <f>WORKDAY(A22,250)</f>
        <v>46373</v>
      </c>
      <c r="B26" t="s">
        <v>1</v>
      </c>
    </row>
    <row r="27" spans="1:4" x14ac:dyDescent="0.3">
      <c r="A27" s="1">
        <f>WORKDAY.INTL(A22,250,7,B24:C24)</f>
        <v>46377</v>
      </c>
      <c r="B2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Krishnan</dc:creator>
  <cp:lastModifiedBy>Haritha Krishnan</cp:lastModifiedBy>
  <dcterms:created xsi:type="dcterms:W3CDTF">2026-02-04T03:17:20Z</dcterms:created>
  <dcterms:modified xsi:type="dcterms:W3CDTF">2026-02-05T03:23:50Z</dcterms:modified>
</cp:coreProperties>
</file>