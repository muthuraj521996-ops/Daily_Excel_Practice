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esant excel\"/>
    </mc:Choice>
  </mc:AlternateContent>
  <xr:revisionPtr revIDLastSave="0" documentId="13_ncr:1_{BE455E39-30B4-4115-B736-37D6277C98EE}" xr6:coauthVersionLast="47" xr6:coauthVersionMax="47" xr10:uidLastSave="{00000000-0000-0000-0000-000000000000}"/>
  <bookViews>
    <workbookView xWindow="-108" yWindow="-108" windowWidth="23256" windowHeight="12456" activeTab="1" xr2:uid="{46C13697-68E7-4F07-AFDC-32E1D3EBF6D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Z2" i="2" l="1"/>
  <c r="Z3" i="2"/>
  <c r="Z4" i="2"/>
  <c r="Z1" i="2"/>
  <c r="Y2" i="2"/>
  <c r="Y3" i="2"/>
  <c r="Y4" i="2"/>
  <c r="Y1" i="2"/>
  <c r="W3" i="2"/>
  <c r="W2" i="2"/>
  <c r="W1" i="2"/>
  <c r="V2" i="2"/>
  <c r="V3" i="2"/>
  <c r="V4" i="2"/>
  <c r="U1" i="2"/>
  <c r="U2" i="2"/>
  <c r="U3" i="2"/>
  <c r="V1" i="2"/>
  <c r="U4" i="2"/>
  <c r="S2" i="2"/>
  <c r="S3" i="2"/>
  <c r="S4" i="2"/>
  <c r="S5" i="2"/>
  <c r="S6" i="2"/>
  <c r="S7" i="2"/>
  <c r="S8" i="2"/>
  <c r="S9" i="2"/>
  <c r="S10" i="2"/>
  <c r="S1" i="2"/>
  <c r="R2" i="2"/>
  <c r="R3" i="2"/>
  <c r="R4" i="2"/>
  <c r="R5" i="2"/>
  <c r="R6" i="2"/>
  <c r="R7" i="2"/>
  <c r="R8" i="2"/>
  <c r="R9" i="2"/>
  <c r="R10" i="2"/>
  <c r="R1" i="2"/>
  <c r="Q6" i="2"/>
  <c r="Q5" i="2"/>
  <c r="Q4" i="2"/>
  <c r="Q3" i="2"/>
  <c r="Q2" i="2"/>
  <c r="Q7" i="2"/>
  <c r="Q8" i="2"/>
  <c r="Q9" i="2"/>
  <c r="Q10" i="2"/>
  <c r="Q1" i="2"/>
  <c r="J2" i="2" a="1"/>
  <c r="J2" i="2" s="1"/>
  <c r="J3" i="2" a="1"/>
  <c r="J3" i="2" s="1"/>
  <c r="J4" i="2" a="1"/>
  <c r="J4" i="2" s="1"/>
  <c r="J1" i="2" a="1"/>
  <c r="J1" i="2" s="1"/>
  <c r="C14" i="2"/>
  <c r="D14" i="2"/>
  <c r="E14" i="2"/>
  <c r="B13" i="2"/>
  <c r="C13" i="2"/>
  <c r="D13" i="2"/>
  <c r="E13" i="2"/>
  <c r="C12" i="2"/>
  <c r="E12" i="2"/>
  <c r="B11" i="2"/>
  <c r="C11" i="2"/>
  <c r="D11" i="2"/>
  <c r="E11" i="2"/>
  <c r="F11" i="2"/>
  <c r="G2" i="2"/>
  <c r="G3" i="2"/>
  <c r="G4" i="2"/>
  <c r="G5" i="2"/>
  <c r="G6" i="2"/>
  <c r="G7" i="2"/>
  <c r="G8" i="2"/>
  <c r="G9" i="2"/>
  <c r="G10" i="2"/>
  <c r="G1" i="2"/>
  <c r="F2" i="2"/>
  <c r="F3" i="2"/>
  <c r="F4" i="2"/>
  <c r="F5" i="2"/>
  <c r="F6" i="2"/>
  <c r="F7" i="2"/>
  <c r="F8" i="2"/>
  <c r="F9" i="2"/>
  <c r="F10" i="2"/>
  <c r="F1" i="2"/>
  <c r="E2" i="2"/>
  <c r="E3" i="2"/>
  <c r="E4" i="2"/>
  <c r="E5" i="2"/>
  <c r="E6" i="2"/>
  <c r="E7" i="2"/>
  <c r="E8" i="2"/>
  <c r="E9" i="2"/>
  <c r="E10" i="2"/>
  <c r="E1" i="2"/>
  <c r="D2" i="2"/>
  <c r="D3" i="2"/>
  <c r="D4" i="2"/>
  <c r="D5" i="2"/>
  <c r="D6" i="2"/>
  <c r="D7" i="2"/>
  <c r="D8" i="2"/>
  <c r="D9" i="2"/>
  <c r="D10" i="2"/>
  <c r="D1" i="2"/>
  <c r="C2" i="2"/>
  <c r="C3" i="2"/>
  <c r="C4" i="2"/>
  <c r="C5" i="2"/>
  <c r="C6" i="2"/>
  <c r="C7" i="2"/>
  <c r="C8" i="2"/>
  <c r="C9" i="2"/>
  <c r="C10" i="2"/>
  <c r="C1" i="2"/>
  <c r="B2" i="2"/>
  <c r="B3" i="2"/>
  <c r="B4" i="2"/>
  <c r="B5" i="2"/>
  <c r="B6" i="2"/>
  <c r="B7" i="2"/>
  <c r="B8" i="2"/>
  <c r="B9" i="2"/>
  <c r="B10" i="2"/>
  <c r="B1" i="2"/>
  <c r="B23" i="1"/>
  <c r="E4" i="1"/>
  <c r="A27" i="1"/>
  <c r="A26" i="1"/>
  <c r="A25" i="1"/>
  <c r="A24" i="1"/>
  <c r="A21" i="1"/>
  <c r="A19" i="1"/>
  <c r="A18" i="1"/>
  <c r="A20" i="1" s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  <c r="A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<sst xmlns="http://schemas.openxmlformats.org/spreadsheetml/2006/main" count="29" uniqueCount="24">
  <si>
    <t>Holidays</t>
  </si>
  <si>
    <t>O/P</t>
  </si>
  <si>
    <t>Siva</t>
  </si>
  <si>
    <t>Muthu</t>
  </si>
  <si>
    <t>Raji</t>
  </si>
  <si>
    <t>Linga</t>
  </si>
  <si>
    <t>Riya</t>
  </si>
  <si>
    <t>Hari</t>
  </si>
  <si>
    <t>Maran</t>
  </si>
  <si>
    <t>Sudar</t>
  </si>
  <si>
    <t>Abi</t>
  </si>
  <si>
    <t>Vengatesh</t>
  </si>
  <si>
    <t>A-B-C-D-E</t>
  </si>
  <si>
    <t>A-B-C</t>
  </si>
  <si>
    <t>A-B-C-F-G-H-I</t>
  </si>
  <si>
    <t>Z-A-B-Z-K-K</t>
  </si>
  <si>
    <t>Aabc123a</t>
  </si>
  <si>
    <t>xyzabc123xy</t>
  </si>
  <si>
    <t>Abc123ab123997</t>
  </si>
  <si>
    <t>Ab12349123a123</t>
  </si>
  <si>
    <t>Excel 2016 2016</t>
  </si>
  <si>
    <t>Excel 2016</t>
  </si>
  <si>
    <t>Excel 2016 Hello</t>
  </si>
  <si>
    <t>2016 Excel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</si>
</sst>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2" fontId="0" fillId="0" borderId="0" xfId="0" applyNumberFormat="1"/>
    <xf numFmtId="1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EBD48-5456-478D-B0E4-CBFED5F74291}">
  <dimension ref="A1:H27"/>
  <sheetViews>
    <sheetView workbookViewId="0">
      <selection activeCell="A28" sqref="A28"/>
    </sheetView>
  </sheetViews>
  <sheetFormatPr defaultRowHeight="14.4" x14ac:dyDescent="0.3"/>
  <cols>
    <col min="1" max="1" width="15.33203125" bestFit="1" customWidth="1"/>
    <col min="2" max="3" width="10.33203125" bestFit="1" customWidth="1"/>
    <col min="5" max="7" width="10.33203125" bestFit="1" customWidth="1"/>
  </cols>
  <sheetData>
    <row r="1" spans="1:8" x14ac:dyDescent="0.3">
      <c r="A1" s="1">
        <f ca="1">TODAY()</f>
        <v>46059</v>
      </c>
    </row>
    <row r="2" spans="1:8" x14ac:dyDescent="0.3">
      <c r="A2" s="2">
        <f ca="1">NOW()</f>
        <v>46059.382133564817</v>
      </c>
    </row>
    <row r="3" spans="1:8" x14ac:dyDescent="0.3">
      <c r="A3">
        <f ca="1">YEAR(NOW())</f>
        <v>2026</v>
      </c>
      <c r="E3" s="1">
        <v>46074</v>
      </c>
      <c r="F3" s="1">
        <v>46078</v>
      </c>
      <c r="G3" s="1">
        <v>46164</v>
      </c>
      <c r="H3" t="s">
        <v>0</v>
      </c>
    </row>
    <row r="4" spans="1:8" x14ac:dyDescent="0.3">
      <c r="A4">
        <f ca="1">MONTH(NOW())</f>
        <v>2</v>
      </c>
      <c r="E4" s="1">
        <f>WORKDAY.INTL(A22,340,3,E3:G3)</f>
        <v>46502</v>
      </c>
      <c r="F4" t="s">
        <v>1</v>
      </c>
    </row>
    <row r="5" spans="1:8" x14ac:dyDescent="0.3">
      <c r="A5">
        <f ca="1">DAY(NOW())</f>
        <v>6</v>
      </c>
    </row>
    <row r="6" spans="1:8" x14ac:dyDescent="0.3">
      <c r="A6">
        <f ca="1">HOUR(NOW())</f>
        <v>9</v>
      </c>
    </row>
    <row r="7" spans="1:8" x14ac:dyDescent="0.3">
      <c r="A7">
        <f ca="1">MINUTE(NOW())</f>
        <v>10</v>
      </c>
    </row>
    <row r="8" spans="1:8" x14ac:dyDescent="0.3">
      <c r="A8">
        <f ca="1">SECOND(NOW())</f>
        <v>16</v>
      </c>
    </row>
    <row r="9" spans="1:8" x14ac:dyDescent="0.3">
      <c r="A9">
        <f ca="1">SECOND(NOW())</f>
        <v>16</v>
      </c>
    </row>
    <row r="10" spans="1:8" x14ac:dyDescent="0.3">
      <c r="A10">
        <f ca="1">WEEKDAY(NOW())</f>
        <v>6</v>
      </c>
    </row>
    <row r="11" spans="1:8" x14ac:dyDescent="0.3">
      <c r="A11" s="1">
        <f>DATE(2026,12,5)</f>
        <v>46361</v>
      </c>
    </row>
    <row r="12" spans="1:8" x14ac:dyDescent="0.3">
      <c r="A12" s="3">
        <f>TIME(11,14,16)</f>
        <v>0.46824074074074074</v>
      </c>
    </row>
    <row r="13" spans="1:8" x14ac:dyDescent="0.3">
      <c r="A13" s="1">
        <f ca="1">EDATE(NOW(),2)</f>
        <v>46118</v>
      </c>
    </row>
    <row r="14" spans="1:8" x14ac:dyDescent="0.3">
      <c r="A14" s="1">
        <f ca="1">EDATE(NOW(),-2)</f>
        <v>45997</v>
      </c>
    </row>
    <row r="15" spans="1:8" x14ac:dyDescent="0.3">
      <c r="A15" s="1">
        <f ca="1">EOMONTH(NOW(),2)</f>
        <v>46142</v>
      </c>
    </row>
    <row r="16" spans="1:8" x14ac:dyDescent="0.3">
      <c r="A16" s="1">
        <f ca="1">EOMONTH(NOW(),-2)</f>
        <v>46022</v>
      </c>
    </row>
    <row r="17" spans="1:4" x14ac:dyDescent="0.3">
      <c r="A17">
        <f ca="1">WEEKNUM(NOW())</f>
        <v>6</v>
      </c>
    </row>
    <row r="18" spans="1:4" x14ac:dyDescent="0.3">
      <c r="A18" s="1">
        <f>DATE(2025,1,1)</f>
        <v>45658</v>
      </c>
    </row>
    <row r="19" spans="1:4" x14ac:dyDescent="0.3">
      <c r="A19" s="1">
        <f>DATE(2026,4,10)</f>
        <v>46122</v>
      </c>
    </row>
    <row r="20" spans="1:4" x14ac:dyDescent="0.3">
      <c r="A20">
        <f>YEARFRAC(A18,A19)</f>
        <v>1.2749999999999999</v>
      </c>
    </row>
    <row r="21" spans="1:4" x14ac:dyDescent="0.3">
      <c r="A21">
        <f>1.275*12</f>
        <v>15.299999999999999</v>
      </c>
    </row>
    <row r="22" spans="1:4" x14ac:dyDescent="0.3">
      <c r="A22" s="1">
        <v>46023</v>
      </c>
    </row>
    <row r="23" spans="1:4" x14ac:dyDescent="0.3">
      <c r="A23" s="1">
        <v>46053</v>
      </c>
      <c r="B23">
        <f>NETWORKDAYS.INTL(A22,A23,7,B24:C24)</f>
        <v>19</v>
      </c>
      <c r="C23" t="s">
        <v>1</v>
      </c>
    </row>
    <row r="24" spans="1:4" x14ac:dyDescent="0.3">
      <c r="A24">
        <f>NETWORKDAYS(A22,A23)</f>
        <v>22</v>
      </c>
      <c r="B24" s="1">
        <v>46037</v>
      </c>
      <c r="C24" s="1">
        <v>46048</v>
      </c>
      <c r="D24" t="s">
        <v>0</v>
      </c>
    </row>
    <row r="25" spans="1:4" x14ac:dyDescent="0.3">
      <c r="A25">
        <f>NETWORKDAYS.INTL(A22,A23,7,B24:C24)</f>
        <v>19</v>
      </c>
      <c r="B25" t="s">
        <v>1</v>
      </c>
    </row>
    <row r="26" spans="1:4" x14ac:dyDescent="0.3">
      <c r="A26" s="1">
        <f>WORKDAY(A22,250)</f>
        <v>46373</v>
      </c>
      <c r="B26" t="s">
        <v>1</v>
      </c>
    </row>
    <row r="27" spans="1:4" x14ac:dyDescent="0.3">
      <c r="A27" s="1">
        <f>WORKDAY.INTL(A22,250,7,B24:C24)</f>
        <v>46377</v>
      </c>
      <c r="B27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06326-37EF-42C3-ABAE-D2254990F359}">
  <dimension ref="A1:Z14"/>
  <sheetViews>
    <sheetView tabSelected="1" topLeftCell="S1" zoomScale="115" zoomScaleNormal="115" workbookViewId="0">
      <selection activeCell="AA1" sqref="AA1"/>
    </sheetView>
  </sheetViews>
  <sheetFormatPr defaultRowHeight="14.4" x14ac:dyDescent="0.3"/>
  <cols>
    <col min="1" max="1" width="12.6640625" customWidth="1"/>
    <col min="2" max="2" width="12.33203125" customWidth="1"/>
    <col min="3" max="3" width="11.5546875" customWidth="1"/>
    <col min="4" max="4" width="10.44140625" customWidth="1"/>
    <col min="5" max="5" width="10" customWidth="1"/>
    <col min="6" max="6" width="9.88671875" customWidth="1"/>
    <col min="7" max="7" width="9.6640625" customWidth="1"/>
    <col min="8" max="8" width="13.77734375" customWidth="1"/>
    <col min="9" max="9" width="11.77734375" customWidth="1"/>
    <col min="18" max="18" width="31.88671875" customWidth="1"/>
    <col min="20" max="20" width="15.109375" customWidth="1"/>
    <col min="23" max="23" width="14.77734375" customWidth="1"/>
    <col min="24" max="24" width="14" customWidth="1"/>
    <col min="25" max="25" width="13.88671875" customWidth="1"/>
    <col min="26" max="26" width="14.21875" customWidth="1"/>
  </cols>
  <sheetData>
    <row r="1" spans="1:26" x14ac:dyDescent="0.3">
      <c r="A1" t="s">
        <v>3</v>
      </c>
      <c r="B1" t="str">
        <f>UPPER(A1)</f>
        <v>MUTHU</v>
      </c>
      <c r="C1" t="str">
        <f>LOWER(A1)</f>
        <v>muthu</v>
      </c>
      <c r="D1" t="str">
        <f>LEFT(A1,3)</f>
        <v>Mut</v>
      </c>
      <c r="E1" t="str">
        <f>RIGHT(A1,4)</f>
        <v>uthu</v>
      </c>
      <c r="F1" t="str">
        <f>MID(A1,2,3)</f>
        <v>uth</v>
      </c>
      <c r="G1">
        <f>LEN(A1)</f>
        <v>5</v>
      </c>
      <c r="I1" t="s">
        <v>12</v>
      </c>
      <c r="J1" t="str" cm="1">
        <f t="array" ref="J1:N1">_xlfn.TEXTSPLIT(I1,"-")</f>
        <v>A</v>
      </c>
      <c r="K1" t="str">
        <v>B</v>
      </c>
      <c r="L1" t="str">
        <v>C</v>
      </c>
      <c r="M1" t="str">
        <v>D</v>
      </c>
      <c r="N1" t="str">
        <v>E</v>
      </c>
      <c r="Q1">
        <f>FIND("u",A1,1)</f>
        <v>2</v>
      </c>
      <c r="R1">
        <f>IFERROR(FIND("M",A1,1),"not available")</f>
        <v>1</v>
      </c>
      <c r="S1">
        <f>SEARCH("M",A1,1)</f>
        <v>1</v>
      </c>
      <c r="T1" t="s">
        <v>16</v>
      </c>
      <c r="U1">
        <f>FIND("a",T1, FIND("a",T1,1)+1)</f>
        <v>8</v>
      </c>
      <c r="V1">
        <f>SEARCH("a",T1, SEARCH("a",T1,1)+1)</f>
        <v>2</v>
      </c>
      <c r="W1" t="str">
        <f>REPLACE(T1,1,4,"Besant")</f>
        <v>Besant123a</v>
      </c>
      <c r="X1" t="s">
        <v>20</v>
      </c>
      <c r="Y1" t="str">
        <f>SUBSTITUTE(X1,"2016","2024")</f>
        <v>Excel 2024 2024</v>
      </c>
      <c r="Z1" t="str">
        <f>SUBSTITUTE(X1,"2016","2025",1)</f>
        <v>Excel 2025 2016</v>
      </c>
    </row>
    <row r="2" spans="1:26" x14ac:dyDescent="0.3">
      <c r="A2" t="s">
        <v>4</v>
      </c>
      <c r="B2" t="str">
        <f t="shared" ref="B2:B13" si="0">UPPER(A2)</f>
        <v>RAJI</v>
      </c>
      <c r="C2" t="str">
        <f t="shared" ref="C2:C14" si="1">LOWER(A2)</f>
        <v>raji</v>
      </c>
      <c r="D2" t="str">
        <f t="shared" ref="D2:D14" si="2">LEFT(A2,3)</f>
        <v>Raj</v>
      </c>
      <c r="E2" t="str">
        <f t="shared" ref="E2:E14" si="3">RIGHT(A2,4)</f>
        <v>Raji</v>
      </c>
      <c r="F2" t="str">
        <f t="shared" ref="F2:F11" si="4">MID(A2,2,3)</f>
        <v>aji</v>
      </c>
      <c r="G2">
        <f t="shared" ref="G2:G10" si="5">LEN(A2)</f>
        <v>4</v>
      </c>
      <c r="I2" t="s">
        <v>13</v>
      </c>
      <c r="J2" t="str" cm="1">
        <f t="array" ref="J2:L2">_xlfn.TEXTSPLIT(I2,"-")</f>
        <v>A</v>
      </c>
      <c r="K2" t="str">
        <v>B</v>
      </c>
      <c r="L2" t="str">
        <v>C</v>
      </c>
      <c r="Q2">
        <f>FIND("a",A2,1)</f>
        <v>2</v>
      </c>
      <c r="R2" t="str">
        <f t="shared" ref="R2:R10" si="6">IFERROR(FIND("M",A2,1),"not available")</f>
        <v>not available</v>
      </c>
      <c r="S2" t="e">
        <f t="shared" ref="S2:S10" si="7">SEARCH("M",A2,1)</f>
        <v>#VALUE!</v>
      </c>
      <c r="T2" t="s">
        <v>17</v>
      </c>
      <c r="U2" t="e">
        <f>FIND("a",T2, FIND("a",T2,1)+1)</f>
        <v>#VALUE!</v>
      </c>
      <c r="V2" t="e">
        <f t="shared" ref="V2:V4" si="8">SEARCH("a",T2, SEARCH("a",T2,1)+1)</f>
        <v>#VALUE!</v>
      </c>
      <c r="W2" t="str">
        <f>REPLACE(T2,1,6,"Institution")</f>
        <v>Institution123xy</v>
      </c>
      <c r="X2" t="s">
        <v>22</v>
      </c>
      <c r="Y2" t="str">
        <f t="shared" ref="Y2:Y4" si="9">SUBSTITUTE(X2,"2016","2024")</f>
        <v>Excel 2024 Hello</v>
      </c>
      <c r="Z2" t="str">
        <f t="shared" ref="Z2:Z4" si="10">SUBSTITUTE(X2,"2016","2025",1)</f>
        <v>Excel 2025 Hello</v>
      </c>
    </row>
    <row r="3" spans="1:26" x14ac:dyDescent="0.3">
      <c r="A3" t="s">
        <v>5</v>
      </c>
      <c r="B3" t="str">
        <f t="shared" si="0"/>
        <v>LINGA</v>
      </c>
      <c r="C3" t="str">
        <f t="shared" si="1"/>
        <v>linga</v>
      </c>
      <c r="D3" t="str">
        <f t="shared" si="2"/>
        <v>Lin</v>
      </c>
      <c r="E3" t="str">
        <f t="shared" si="3"/>
        <v>inga</v>
      </c>
      <c r="F3" t="str">
        <f t="shared" si="4"/>
        <v>ing</v>
      </c>
      <c r="G3">
        <f t="shared" si="5"/>
        <v>5</v>
      </c>
      <c r="I3" t="s">
        <v>14</v>
      </c>
      <c r="J3" t="str" cm="1">
        <f t="array" ref="J3:P3">_xlfn.TEXTSPLIT(I3,"-")</f>
        <v>A</v>
      </c>
      <c r="K3" t="str">
        <v>B</v>
      </c>
      <c r="L3" t="str">
        <v>C</v>
      </c>
      <c r="M3" t="str">
        <v>F</v>
      </c>
      <c r="N3" t="str">
        <v>G</v>
      </c>
      <c r="O3" t="str">
        <v>H</v>
      </c>
      <c r="P3" t="str">
        <v>I</v>
      </c>
      <c r="Q3">
        <f>FIND("n",A3,1)</f>
        <v>3</v>
      </c>
      <c r="R3" t="str">
        <f t="shared" si="6"/>
        <v>not available</v>
      </c>
      <c r="S3" t="e">
        <f t="shared" si="7"/>
        <v>#VALUE!</v>
      </c>
      <c r="T3" t="s">
        <v>18</v>
      </c>
      <c r="U3" t="e">
        <f t="shared" ref="U2:U4" si="11">FIND("a",T3, FIND("a",T3,1)+1)</f>
        <v>#VALUE!</v>
      </c>
      <c r="V3">
        <f t="shared" si="8"/>
        <v>7</v>
      </c>
      <c r="W3" t="str">
        <f>REPLACE(T3,2,7,"binaya")</f>
        <v>Abinaya123997</v>
      </c>
      <c r="X3" t="s">
        <v>21</v>
      </c>
      <c r="Y3" t="str">
        <f t="shared" si="9"/>
        <v>Excel 2024</v>
      </c>
      <c r="Z3" t="str">
        <f t="shared" si="10"/>
        <v>Excel 2025</v>
      </c>
    </row>
    <row r="4" spans="1:26" x14ac:dyDescent="0.3">
      <c r="A4" t="s">
        <v>6</v>
      </c>
      <c r="B4" t="str">
        <f t="shared" si="0"/>
        <v>RIYA</v>
      </c>
      <c r="C4" t="str">
        <f t="shared" si="1"/>
        <v>riya</v>
      </c>
      <c r="D4" t="str">
        <f t="shared" si="2"/>
        <v>Riy</v>
      </c>
      <c r="E4" t="str">
        <f t="shared" si="3"/>
        <v>Riya</v>
      </c>
      <c r="F4" t="str">
        <f t="shared" si="4"/>
        <v>iya</v>
      </c>
      <c r="G4">
        <f t="shared" si="5"/>
        <v>4</v>
      </c>
      <c r="I4" t="s">
        <v>15</v>
      </c>
      <c r="J4" t="str" cm="1">
        <f t="array" ref="J4:O4">_xlfn.TEXTSPLIT(I4,"-")</f>
        <v>Z</v>
      </c>
      <c r="K4" t="str">
        <v>A</v>
      </c>
      <c r="L4" t="str">
        <v>B</v>
      </c>
      <c r="M4" t="str">
        <v>Z</v>
      </c>
      <c r="N4" t="str">
        <v>K</v>
      </c>
      <c r="O4" t="str">
        <v>K</v>
      </c>
      <c r="Q4">
        <f>FIND("a",A4,1)</f>
        <v>4</v>
      </c>
      <c r="R4" t="str">
        <f t="shared" si="6"/>
        <v>not available</v>
      </c>
      <c r="S4" t="e">
        <f t="shared" si="7"/>
        <v>#VALUE!</v>
      </c>
      <c r="T4" t="s">
        <v>19</v>
      </c>
      <c r="U4" t="e">
        <f t="shared" si="11"/>
        <v>#VALUE!</v>
      </c>
      <c r="V4">
        <f t="shared" si="8"/>
        <v>11</v>
      </c>
      <c r="X4" t="s">
        <v>23</v>
      </c>
      <c r="Y4" t="str">
        <f t="shared" si="9"/>
        <v>2024 Excel 2024</v>
      </c>
      <c r="Z4" t="str">
        <f t="shared" si="10"/>
        <v>2025 Excel 2016</v>
      </c>
    </row>
    <row r="5" spans="1:26" x14ac:dyDescent="0.3">
      <c r="A5" t="s">
        <v>2</v>
      </c>
      <c r="B5" t="str">
        <f t="shared" si="0"/>
        <v>SIVA</v>
      </c>
      <c r="C5" t="str">
        <f t="shared" si="1"/>
        <v>siva</v>
      </c>
      <c r="D5" t="str">
        <f t="shared" si="2"/>
        <v>Siv</v>
      </c>
      <c r="E5" t="str">
        <f t="shared" si="3"/>
        <v>Siva</v>
      </c>
      <c r="F5" t="str">
        <f t="shared" si="4"/>
        <v>iva</v>
      </c>
      <c r="G5">
        <f t="shared" si="5"/>
        <v>4</v>
      </c>
      <c r="Q5">
        <f>FIND("v",A5,1)</f>
        <v>3</v>
      </c>
      <c r="R5" t="str">
        <f t="shared" si="6"/>
        <v>not available</v>
      </c>
      <c r="S5" t="e">
        <f t="shared" si="7"/>
        <v>#VALUE!</v>
      </c>
    </row>
    <row r="6" spans="1:26" x14ac:dyDescent="0.3">
      <c r="A6" t="s">
        <v>7</v>
      </c>
      <c r="B6" t="str">
        <f t="shared" si="0"/>
        <v>HARI</v>
      </c>
      <c r="C6" t="str">
        <f t="shared" si="1"/>
        <v>hari</v>
      </c>
      <c r="D6" t="str">
        <f t="shared" si="2"/>
        <v>Har</v>
      </c>
      <c r="E6" t="str">
        <f t="shared" si="3"/>
        <v>Hari</v>
      </c>
      <c r="F6" t="str">
        <f t="shared" si="4"/>
        <v>ari</v>
      </c>
      <c r="G6">
        <f t="shared" si="5"/>
        <v>4</v>
      </c>
      <c r="Q6">
        <f>FIND("H",A6,1)</f>
        <v>1</v>
      </c>
      <c r="R6" t="str">
        <f t="shared" si="6"/>
        <v>not available</v>
      </c>
      <c r="S6" t="e">
        <f t="shared" si="7"/>
        <v>#VALUE!</v>
      </c>
    </row>
    <row r="7" spans="1:26" x14ac:dyDescent="0.3">
      <c r="A7" t="s">
        <v>8</v>
      </c>
      <c r="B7" t="str">
        <f t="shared" si="0"/>
        <v>MARAN</v>
      </c>
      <c r="C7" t="str">
        <f t="shared" si="1"/>
        <v>maran</v>
      </c>
      <c r="D7" t="str">
        <f t="shared" si="2"/>
        <v>Mar</v>
      </c>
      <c r="E7" t="str">
        <f t="shared" si="3"/>
        <v>aran</v>
      </c>
      <c r="F7" t="str">
        <f t="shared" si="4"/>
        <v>ara</v>
      </c>
      <c r="G7">
        <f t="shared" si="5"/>
        <v>5</v>
      </c>
      <c r="Q7" t="e">
        <f t="shared" ref="Q7:Q10" si="12">FIND("u",A7,1)</f>
        <v>#VALUE!</v>
      </c>
      <c r="R7">
        <f t="shared" si="6"/>
        <v>1</v>
      </c>
      <c r="S7">
        <f t="shared" si="7"/>
        <v>1</v>
      </c>
    </row>
    <row r="8" spans="1:26" x14ac:dyDescent="0.3">
      <c r="A8" t="s">
        <v>11</v>
      </c>
      <c r="B8" t="str">
        <f t="shared" si="0"/>
        <v>VENGATESH</v>
      </c>
      <c r="C8" t="str">
        <f t="shared" si="1"/>
        <v>vengatesh</v>
      </c>
      <c r="D8" t="str">
        <f t="shared" si="2"/>
        <v>Ven</v>
      </c>
      <c r="E8" t="str">
        <f t="shared" si="3"/>
        <v>tesh</v>
      </c>
      <c r="F8" t="str">
        <f t="shared" si="4"/>
        <v>eng</v>
      </c>
      <c r="G8">
        <f t="shared" si="5"/>
        <v>9</v>
      </c>
      <c r="Q8" t="e">
        <f t="shared" si="12"/>
        <v>#VALUE!</v>
      </c>
      <c r="R8" t="str">
        <f t="shared" si="6"/>
        <v>not available</v>
      </c>
      <c r="S8" t="e">
        <f t="shared" si="7"/>
        <v>#VALUE!</v>
      </c>
    </row>
    <row r="9" spans="1:26" x14ac:dyDescent="0.3">
      <c r="A9" t="s">
        <v>9</v>
      </c>
      <c r="B9" t="str">
        <f t="shared" si="0"/>
        <v>SUDAR</v>
      </c>
      <c r="C9" t="str">
        <f t="shared" si="1"/>
        <v>sudar</v>
      </c>
      <c r="D9" t="str">
        <f t="shared" si="2"/>
        <v>Sud</v>
      </c>
      <c r="E9" t="str">
        <f t="shared" si="3"/>
        <v>udar</v>
      </c>
      <c r="F9" t="str">
        <f t="shared" si="4"/>
        <v>uda</v>
      </c>
      <c r="G9">
        <f t="shared" si="5"/>
        <v>5</v>
      </c>
      <c r="Q9">
        <f t="shared" si="12"/>
        <v>2</v>
      </c>
      <c r="R9" t="str">
        <f t="shared" si="6"/>
        <v>not available</v>
      </c>
      <c r="S9" t="e">
        <f t="shared" si="7"/>
        <v>#VALUE!</v>
      </c>
    </row>
    <row r="10" spans="1:26" x14ac:dyDescent="0.3">
      <c r="A10" t="s">
        <v>10</v>
      </c>
      <c r="B10" t="str">
        <f t="shared" si="0"/>
        <v>ABI</v>
      </c>
      <c r="C10" t="str">
        <f t="shared" si="1"/>
        <v>abi</v>
      </c>
      <c r="D10" t="str">
        <f t="shared" si="2"/>
        <v>Abi</v>
      </c>
      <c r="E10" t="str">
        <f t="shared" si="3"/>
        <v>Abi</v>
      </c>
      <c r="F10" t="str">
        <f t="shared" si="4"/>
        <v>bi</v>
      </c>
      <c r="G10">
        <f t="shared" si="5"/>
        <v>3</v>
      </c>
      <c r="Q10" t="e">
        <f t="shared" si="12"/>
        <v>#VALUE!</v>
      </c>
      <c r="R10" t="str">
        <f t="shared" si="6"/>
        <v>not available</v>
      </c>
      <c r="S10" t="e">
        <f t="shared" si="7"/>
        <v>#VALUE!</v>
      </c>
    </row>
    <row r="11" spans="1:26" x14ac:dyDescent="0.3">
      <c r="B11" t="str">
        <f t="shared" si="0"/>
        <v/>
      </c>
      <c r="C11" t="str">
        <f t="shared" si="1"/>
        <v/>
      </c>
      <c r="D11" t="str">
        <f t="shared" si="2"/>
        <v/>
      </c>
      <c r="E11" t="str">
        <f t="shared" si="3"/>
        <v/>
      </c>
      <c r="F11" t="str">
        <f t="shared" si="4"/>
        <v/>
      </c>
    </row>
    <row r="12" spans="1:26" x14ac:dyDescent="0.3">
      <c r="C12" t="str">
        <f t="shared" si="1"/>
        <v/>
      </c>
      <c r="E12" t="str">
        <f t="shared" si="3"/>
        <v/>
      </c>
    </row>
    <row r="13" spans="1:26" x14ac:dyDescent="0.3">
      <c r="B13" t="str">
        <f t="shared" si="0"/>
        <v/>
      </c>
      <c r="C13" t="str">
        <f t="shared" si="1"/>
        <v/>
      </c>
      <c r="D13" t="str">
        <f t="shared" si="2"/>
        <v/>
      </c>
      <c r="E13" t="str">
        <f t="shared" si="3"/>
        <v/>
      </c>
    </row>
    <row r="14" spans="1:26" x14ac:dyDescent="0.3">
      <c r="C14" t="str">
        <f t="shared" si="1"/>
        <v/>
      </c>
      <c r="D14" t="str">
        <f t="shared" si="2"/>
        <v/>
      </c>
      <c r="E14" t="str">
        <f t="shared" si="3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Haritha Krishnan</dc:creator>
  <cp:lastModifiedBy>Haritha Krishnan</cp:lastModifiedBy>
  <dcterms:created xsi:type="dcterms:W3CDTF">2026-02-04T03:17:20Z</dcterms:created>
  <dcterms:modified xsi:type="dcterms:W3CDTF">2026-02-06T03:40:46Z</dcterms:modified>
</cp:coreProperties>
</file>