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5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sant excel\"/>
    </mc:Choice>
  </mc:AlternateContent>
  <xr:revisionPtr revIDLastSave="0" documentId="13_ncr:1_{419E55F1-8811-4C65-8027-8078F23D551D}" xr6:coauthVersionLast="47" xr6:coauthVersionMax="47" xr10:uidLastSave="{00000000-0000-0000-0000-000000000000}"/>
  <bookViews>
    <workbookView xWindow="-108" yWindow="-108" windowWidth="23256" windowHeight="12456" firstSheet="10" activeTab="15" xr2:uid="{46C13697-68E7-4F07-AFDC-32E1D3EBF6D3}"/>
  </bookViews>
  <sheets>
    <sheet name="Date&amp;Time" sheetId="1" r:id="rId1"/>
    <sheet name="String" sheetId="2" r:id="rId2"/>
    <sheet name="IF AND IFS" sheetId="3" r:id="rId3"/>
    <sheet name="Lookupvalue" sheetId="4" r:id="rId4"/>
    <sheet name="numerical" sheetId="5" r:id="rId5"/>
    <sheet name="IS FORMULAS" sheetId="6" r:id="rId6"/>
    <sheet name="Bar and Column bars" sheetId="7" r:id="rId7"/>
    <sheet name="Hierarchical chart" sheetId="8" r:id="rId8"/>
    <sheet name="Line and Area " sheetId="9" r:id="rId9"/>
    <sheet name="Pie chart" sheetId="10" r:id="rId10"/>
    <sheet name="waterfall chart" sheetId="13" r:id="rId11"/>
    <sheet name="Combo" sheetId="14" r:id="rId12"/>
    <sheet name="Maps transform" sheetId="16" r:id="rId13"/>
    <sheet name="Buttons" sheetId="17" r:id="rId14"/>
    <sheet name="Scatter chart" sheetId="18" r:id="rId15"/>
    <sheet name="Radar" sheetId="19" r:id="rId16"/>
  </sheets>
  <definedNames>
    <definedName name="_xlnm._FilterDatabase" localSheetId="7" hidden="1">'Hierarchical chart'!$M$4:$N$14</definedName>
    <definedName name="_xlchart.v1.0" hidden="1">'Hierarchical chart'!$A$2:$A$8</definedName>
    <definedName name="_xlchart.v1.1" hidden="1">'Hierarchical chart'!$B$1</definedName>
    <definedName name="_xlchart.v1.10" hidden="1">'waterfall chart'!$B$1</definedName>
    <definedName name="_xlchart.v1.11" hidden="1">'waterfall chart'!$B$2:$B$13</definedName>
    <definedName name="_xlchart.v1.2" hidden="1">'Hierarchical chart'!$B$2:$B$8</definedName>
    <definedName name="_xlchart.v1.6" hidden="1">'Hierarchical chart'!$A$22:$B$30</definedName>
    <definedName name="_xlchart.v1.7" hidden="1">'Hierarchical chart'!$C$21</definedName>
    <definedName name="_xlchart.v1.8" hidden="1">'Hierarchical chart'!$C$22:$C$30</definedName>
    <definedName name="_xlchart.v1.9" hidden="1">'waterfall chart'!$A$2:$A$13</definedName>
    <definedName name="_xlchart.v2.3" hidden="1">'Hierarchical chart'!$M$5:$M$14</definedName>
    <definedName name="_xlchart.v2.4" hidden="1">'Hierarchical chart'!$N$4</definedName>
    <definedName name="_xlchart.v2.5" hidden="1">'Hierarchical chart'!$N$5:$N$14</definedName>
    <definedName name="_xlchart.v5.12" hidden="1">'Maps transform'!$A$3</definedName>
    <definedName name="_xlchart.v5.13" hidden="1">'Maps transform'!$A$4:$A$32</definedName>
    <definedName name="_xlchart.v5.14" hidden="1">'Maps transform'!$H$1</definedName>
    <definedName name="_xlchart.v5.15" hidden="1">'Maps transform'!$H$4:$H$32</definedName>
    <definedName name="ExternalData_1" localSheetId="12" hidden="1">'Maps transform'!$A$1:$K$30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7" l="1"/>
  <c r="E2" i="17" a="1"/>
  <c r="E2" i="17" s="1"/>
  <c r="L3" i="6"/>
  <c r="L2" i="6" a="1"/>
  <c r="L2" i="6" s="1"/>
  <c r="K3" i="6"/>
  <c r="K4" i="6"/>
  <c r="K5" i="6"/>
  <c r="K6" i="6"/>
  <c r="K7" i="6"/>
  <c r="K8" i="6"/>
  <c r="K9" i="6"/>
  <c r="K10" i="6"/>
  <c r="J3" i="6"/>
  <c r="J4" i="6"/>
  <c r="J5" i="6"/>
  <c r="J6" i="6"/>
  <c r="J7" i="6"/>
  <c r="J8" i="6"/>
  <c r="J9" i="6"/>
  <c r="J10" i="6"/>
  <c r="K2" i="6"/>
  <c r="J2" i="6"/>
  <c r="I3" i="6"/>
  <c r="I4" i="6"/>
  <c r="I5" i="6"/>
  <c r="I6" i="6"/>
  <c r="I7" i="6"/>
  <c r="I8" i="6"/>
  <c r="I9" i="6"/>
  <c r="I10" i="6"/>
  <c r="I2" i="6"/>
  <c r="F3" i="6"/>
  <c r="F4" i="6"/>
  <c r="F5" i="6"/>
  <c r="F6" i="6"/>
  <c r="F7" i="6"/>
  <c r="F8" i="6"/>
  <c r="F9" i="6"/>
  <c r="F10" i="6"/>
  <c r="F11" i="6"/>
  <c r="F2" i="6"/>
  <c r="E3" i="6"/>
  <c r="E4" i="6"/>
  <c r="E5" i="6"/>
  <c r="E6" i="6"/>
  <c r="E7" i="6"/>
  <c r="E8" i="6"/>
  <c r="E9" i="6"/>
  <c r="E10" i="6"/>
  <c r="E11" i="6"/>
  <c r="E2" i="6"/>
  <c r="D11" i="6"/>
  <c r="D10" i="6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2" i="6"/>
  <c r="B3" i="6"/>
  <c r="B4" i="6"/>
  <c r="B5" i="6"/>
  <c r="B6" i="6"/>
  <c r="B7" i="6"/>
  <c r="B8" i="6"/>
  <c r="B2" i="6"/>
  <c r="J2" i="5"/>
  <c r="X2" i="5"/>
  <c r="W2" i="5"/>
  <c r="T2" i="5"/>
  <c r="S2" i="5"/>
  <c r="P3" i="5"/>
  <c r="P2" i="5"/>
  <c r="O2" i="5"/>
  <c r="N2" i="5"/>
  <c r="M2" i="5"/>
  <c r="L2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" i="5"/>
  <c r="AJ2" i="4"/>
  <c r="AI3" i="4"/>
  <c r="AI4" i="4"/>
  <c r="AI2" i="4"/>
  <c r="AF3" i="4"/>
  <c r="AF2" i="4"/>
  <c r="X2" i="4"/>
  <c r="Z2" i="4"/>
  <c r="Y2" i="4"/>
  <c r="Q2" i="4"/>
  <c r="Q3" i="4"/>
  <c r="Q4" i="4"/>
  <c r="O2" i="4"/>
  <c r="N5" i="4"/>
  <c r="M5" i="4"/>
  <c r="L5" i="4"/>
  <c r="N3" i="4"/>
  <c r="N4" i="4"/>
  <c r="N2" i="4"/>
  <c r="M3" i="4"/>
  <c r="M4" i="4"/>
  <c r="M2" i="4"/>
  <c r="L3" i="4"/>
  <c r="L4" i="4"/>
  <c r="L2" i="4"/>
  <c r="I3" i="4"/>
  <c r="I4" i="4"/>
  <c r="I2" i="4"/>
  <c r="H3" i="4" a="1"/>
  <c r="H3" i="4" s="1"/>
  <c r="H4" i="4" a="1"/>
  <c r="H4" i="4"/>
  <c r="H2" i="4" a="1"/>
  <c r="H2" i="4" s="1"/>
  <c r="G3" i="4"/>
  <c r="G4" i="4"/>
  <c r="G2" i="4"/>
  <c r="W4" i="3"/>
  <c r="W5" i="3"/>
  <c r="W6" i="3"/>
  <c r="W7" i="3"/>
  <c r="W8" i="3"/>
  <c r="W9" i="3"/>
  <c r="W10" i="3"/>
  <c r="W11" i="3"/>
  <c r="W12" i="3"/>
  <c r="W13" i="3"/>
  <c r="W14" i="3"/>
  <c r="W3" i="3"/>
  <c r="V4" i="3"/>
  <c r="V5" i="3"/>
  <c r="V6" i="3"/>
  <c r="V7" i="3"/>
  <c r="V8" i="3"/>
  <c r="V9" i="3"/>
  <c r="V10" i="3"/>
  <c r="V11" i="3"/>
  <c r="V12" i="3"/>
  <c r="V13" i="3"/>
  <c r="V14" i="3"/>
  <c r="V3" i="3"/>
  <c r="U4" i="3"/>
  <c r="U5" i="3"/>
  <c r="U6" i="3"/>
  <c r="U7" i="3"/>
  <c r="U8" i="3"/>
  <c r="U9" i="3"/>
  <c r="U10" i="3"/>
  <c r="U11" i="3"/>
  <c r="U12" i="3"/>
  <c r="U13" i="3"/>
  <c r="U14" i="3"/>
  <c r="U3" i="3"/>
  <c r="Q4" i="3"/>
  <c r="Q5" i="3"/>
  <c r="Q6" i="3"/>
  <c r="Q7" i="3"/>
  <c r="Q8" i="3"/>
  <c r="Q3" i="3"/>
  <c r="M3" i="3"/>
  <c r="M4" i="3"/>
  <c r="L4" i="3"/>
  <c r="L3" i="3"/>
  <c r="K4" i="3"/>
  <c r="K3" i="3"/>
  <c r="E6" i="3"/>
  <c r="E5" i="3"/>
  <c r="E4" i="3"/>
  <c r="E3" i="3"/>
  <c r="E2" i="3"/>
  <c r="D5" i="3"/>
  <c r="D4" i="3"/>
  <c r="D3" i="3"/>
  <c r="D2" i="3"/>
  <c r="C6" i="3"/>
  <c r="C5" i="3"/>
  <c r="C4" i="3"/>
  <c r="C3" i="3"/>
  <c r="C2" i="3"/>
  <c r="Z2" i="2"/>
  <c r="Z3" i="2"/>
  <c r="Z4" i="2"/>
  <c r="Z1" i="2"/>
  <c r="Y2" i="2"/>
  <c r="Y3" i="2"/>
  <c r="Y4" i="2"/>
  <c r="Y1" i="2"/>
  <c r="W3" i="2"/>
  <c r="W2" i="2"/>
  <c r="W1" i="2"/>
  <c r="V2" i="2"/>
  <c r="V3" i="2"/>
  <c r="V4" i="2"/>
  <c r="U1" i="2"/>
  <c r="U2" i="2"/>
  <c r="U3" i="2"/>
  <c r="V1" i="2"/>
  <c r="U4" i="2"/>
  <c r="S2" i="2"/>
  <c r="S3" i="2"/>
  <c r="S4" i="2"/>
  <c r="S5" i="2"/>
  <c r="S6" i="2"/>
  <c r="S7" i="2"/>
  <c r="S8" i="2"/>
  <c r="S9" i="2"/>
  <c r="S10" i="2"/>
  <c r="S1" i="2"/>
  <c r="R2" i="2"/>
  <c r="R3" i="2"/>
  <c r="R4" i="2"/>
  <c r="R5" i="2"/>
  <c r="R6" i="2"/>
  <c r="R7" i="2"/>
  <c r="R8" i="2"/>
  <c r="R9" i="2"/>
  <c r="R10" i="2"/>
  <c r="R1" i="2"/>
  <c r="Q6" i="2"/>
  <c r="Q5" i="2"/>
  <c r="Q4" i="2"/>
  <c r="Q3" i="2"/>
  <c r="Q2" i="2"/>
  <c r="Q7" i="2"/>
  <c r="Q8" i="2"/>
  <c r="Q9" i="2"/>
  <c r="Q10" i="2"/>
  <c r="Q1" i="2"/>
  <c r="J2" i="2" a="1"/>
  <c r="J2" i="2" s="1"/>
  <c r="J3" i="2" a="1"/>
  <c r="J3" i="2" s="1"/>
  <c r="J4" i="2" a="1"/>
  <c r="J4" i="2" s="1"/>
  <c r="J1" i="2" a="1"/>
  <c r="J1" i="2" s="1"/>
  <c r="C14" i="2"/>
  <c r="D14" i="2"/>
  <c r="E14" i="2"/>
  <c r="B13" i="2"/>
  <c r="C13" i="2"/>
  <c r="D13" i="2"/>
  <c r="E13" i="2"/>
  <c r="C12" i="2"/>
  <c r="E12" i="2"/>
  <c r="B11" i="2"/>
  <c r="C11" i="2"/>
  <c r="D11" i="2"/>
  <c r="E11" i="2"/>
  <c r="F11" i="2"/>
  <c r="G2" i="2"/>
  <c r="G3" i="2"/>
  <c r="G4" i="2"/>
  <c r="G5" i="2"/>
  <c r="G6" i="2"/>
  <c r="G7" i="2"/>
  <c r="G8" i="2"/>
  <c r="G9" i="2"/>
  <c r="G10" i="2"/>
  <c r="G1" i="2"/>
  <c r="F2" i="2"/>
  <c r="F3" i="2"/>
  <c r="F4" i="2"/>
  <c r="F5" i="2"/>
  <c r="F6" i="2"/>
  <c r="F7" i="2"/>
  <c r="F8" i="2"/>
  <c r="F9" i="2"/>
  <c r="F10" i="2"/>
  <c r="F1" i="2"/>
  <c r="E2" i="2"/>
  <c r="E3" i="2"/>
  <c r="E4" i="2"/>
  <c r="E5" i="2"/>
  <c r="E6" i="2"/>
  <c r="E7" i="2"/>
  <c r="E8" i="2"/>
  <c r="E9" i="2"/>
  <c r="E10" i="2"/>
  <c r="E1" i="2"/>
  <c r="D2" i="2"/>
  <c r="D3" i="2"/>
  <c r="D4" i="2"/>
  <c r="D5" i="2"/>
  <c r="D6" i="2"/>
  <c r="D7" i="2"/>
  <c r="D8" i="2"/>
  <c r="D9" i="2"/>
  <c r="D10" i="2"/>
  <c r="D1" i="2"/>
  <c r="C2" i="2"/>
  <c r="C3" i="2"/>
  <c r="C4" i="2"/>
  <c r="C5" i="2"/>
  <c r="C6" i="2"/>
  <c r="C7" i="2"/>
  <c r="C8" i="2"/>
  <c r="C9" i="2"/>
  <c r="C10" i="2"/>
  <c r="C1" i="2"/>
  <c r="B2" i="2"/>
  <c r="B3" i="2"/>
  <c r="B4" i="2"/>
  <c r="B5" i="2"/>
  <c r="B6" i="2"/>
  <c r="B7" i="2"/>
  <c r="B8" i="2"/>
  <c r="B9" i="2"/>
  <c r="B10" i="2"/>
  <c r="B1" i="2"/>
  <c r="B23" i="1"/>
  <c r="E4" i="1"/>
  <c r="A27" i="1"/>
  <c r="A26" i="1"/>
  <c r="A25" i="1"/>
  <c r="A24" i="1"/>
  <c r="A21" i="1"/>
  <c r="A19" i="1"/>
  <c r="A18" i="1"/>
  <c r="A20" i="1" s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1E7E8-E55B-4DE3-9D7C-E92E98F86C32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<sst xmlns="http://schemas.openxmlformats.org/spreadsheetml/2006/main" count="617" uniqueCount="438">
  <si>
    <t>Holidays</t>
  </si>
  <si>
    <t>O/P</t>
  </si>
  <si>
    <t>Siva</t>
  </si>
  <si>
    <t>Muthu</t>
  </si>
  <si>
    <t>Raji</t>
  </si>
  <si>
    <t>Linga</t>
  </si>
  <si>
    <t>Riya</t>
  </si>
  <si>
    <t>Hari</t>
  </si>
  <si>
    <t>Maran</t>
  </si>
  <si>
    <t>Sudar</t>
  </si>
  <si>
    <t>Abi</t>
  </si>
  <si>
    <t>Vengatesh</t>
  </si>
  <si>
    <t>A-B-C-D-E</t>
  </si>
  <si>
    <t>A-B-C</t>
  </si>
  <si>
    <t>A-B-C-F-G-H-I</t>
  </si>
  <si>
    <t>Z-A-B-Z-K-K</t>
  </si>
  <si>
    <t>Aabc123a</t>
  </si>
  <si>
    <t>xyzabc123xy</t>
  </si>
  <si>
    <t>Abc123ab123997</t>
  </si>
  <si>
    <t>Ab12349123a123</t>
  </si>
  <si>
    <t>Excel 2016 2016</t>
  </si>
  <si>
    <t>Excel 2016</t>
  </si>
  <si>
    <t>Excel 2016 Hello</t>
  </si>
  <si>
    <t>2016 Excel 2016</t>
  </si>
  <si>
    <t>REGION</t>
  </si>
  <si>
    <t>SALES</t>
  </si>
  <si>
    <t>South</t>
  </si>
  <si>
    <t>North</t>
  </si>
  <si>
    <t>East</t>
  </si>
  <si>
    <t>West</t>
  </si>
  <si>
    <t>South New Office</t>
  </si>
  <si>
    <t>South North Office</t>
  </si>
  <si>
    <t>Errt</t>
  </si>
  <si>
    <t>Sxyzh</t>
  </si>
  <si>
    <t>Office South</t>
  </si>
  <si>
    <t>Office North</t>
  </si>
  <si>
    <t xml:space="preserve">North </t>
  </si>
  <si>
    <t>SUMIF</t>
  </si>
  <si>
    <t>AVERAGE IF</t>
  </si>
  <si>
    <t>COUNTIF</t>
  </si>
  <si>
    <t>IFS</t>
  </si>
  <si>
    <t>Person</t>
  </si>
  <si>
    <t>Product</t>
  </si>
  <si>
    <t>Quantity</t>
  </si>
  <si>
    <t>A</t>
  </si>
  <si>
    <t>B</t>
  </si>
  <si>
    <t>C</t>
  </si>
  <si>
    <t>Apple</t>
  </si>
  <si>
    <t>Orange</t>
  </si>
  <si>
    <t>Kiwi</t>
  </si>
  <si>
    <t>SUMIFS</t>
  </si>
  <si>
    <t>AVERAGEIFS</t>
  </si>
  <si>
    <t>COUNTIFS</t>
  </si>
  <si>
    <t>AGE</t>
  </si>
  <si>
    <t>COUNTRY</t>
  </si>
  <si>
    <t>India</t>
  </si>
  <si>
    <t>Russia</t>
  </si>
  <si>
    <t>USA</t>
  </si>
  <si>
    <t>UK</t>
  </si>
  <si>
    <t>IF</t>
  </si>
  <si>
    <t>AND</t>
  </si>
  <si>
    <t>OR</t>
  </si>
  <si>
    <t>IF,AND</t>
  </si>
  <si>
    <t>Empid</t>
  </si>
  <si>
    <t>Empname</t>
  </si>
  <si>
    <t>EmpPhone</t>
  </si>
  <si>
    <t>EmpSalary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</si>
  <si>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</si>
  <si>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</si>
  <si>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</si>
  <si>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</si>
  <si>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</si>
  <si>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</si>
  <si>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</si>
  <si>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</si>
  <si>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</si>
  <si>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</si>
  <si>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Index</t>
  </si>
  <si>
    <t>Index+Match</t>
  </si>
  <si>
    <t>Match(ROW)</t>
  </si>
  <si>
    <t>Lookupvalues</t>
  </si>
  <si>
    <t>lookname</t>
  </si>
  <si>
    <t>lookphone</t>
  </si>
  <si>
    <t>loolsalary</t>
  </si>
  <si>
    <t>Sales</t>
  </si>
  <si>
    <t>Profit</t>
  </si>
  <si>
    <t>Jan</t>
  </si>
  <si>
    <t>Feb</t>
  </si>
  <si>
    <t>March</t>
  </si>
  <si>
    <t>April</t>
  </si>
  <si>
    <t>Emp_id</t>
  </si>
  <si>
    <t>Name</t>
  </si>
  <si>
    <t>Dept</t>
  </si>
  <si>
    <t>Salary</t>
  </si>
  <si>
    <t>D</t>
  </si>
  <si>
    <t>E</t>
  </si>
  <si>
    <t>QA</t>
  </si>
  <si>
    <t>DEV</t>
  </si>
  <si>
    <t>Xlookup</t>
  </si>
  <si>
    <t>Hlookup</t>
  </si>
  <si>
    <t>Vlookup</t>
  </si>
  <si>
    <t>Numbers</t>
  </si>
  <si>
    <t>Student marks</t>
  </si>
  <si>
    <t>MODE</t>
  </si>
  <si>
    <t>MEDIAN</t>
  </si>
  <si>
    <t>LARGE</t>
  </si>
  <si>
    <t>SMALL</t>
  </si>
  <si>
    <t>ABS</t>
  </si>
  <si>
    <t>SIGN</t>
  </si>
  <si>
    <t>POWER</t>
  </si>
  <si>
    <t>TRUNC</t>
  </si>
  <si>
    <t>ROUND</t>
  </si>
  <si>
    <t>ROUNDUP</t>
  </si>
  <si>
    <t>INT</t>
  </si>
  <si>
    <t>MOD</t>
  </si>
  <si>
    <t>DIV</t>
  </si>
  <si>
    <t>SUM</t>
  </si>
  <si>
    <t>AVG</t>
  </si>
  <si>
    <t>MAX</t>
  </si>
  <si>
    <t>MIN</t>
  </si>
  <si>
    <t>COUNT</t>
  </si>
  <si>
    <t>SQRT</t>
  </si>
  <si>
    <t>NUMBERS</t>
  </si>
  <si>
    <t>XYZ</t>
  </si>
  <si>
    <t>Abc</t>
  </si>
  <si>
    <t>Xyz</t>
  </si>
  <si>
    <t>abc</t>
  </si>
  <si>
    <t>ISODD</t>
  </si>
  <si>
    <t>ISEVEN</t>
  </si>
  <si>
    <t>ISNUMBER</t>
  </si>
  <si>
    <t>ISBLANK</t>
  </si>
  <si>
    <t>ISNONTEXT</t>
  </si>
  <si>
    <t>Values</t>
  </si>
  <si>
    <t>ISLOGICAL</t>
  </si>
  <si>
    <t>ISFORMULA</t>
  </si>
  <si>
    <t>Error</t>
  </si>
  <si>
    <t>Month</t>
  </si>
  <si>
    <t>Person A</t>
  </si>
  <si>
    <t>Person B</t>
  </si>
  <si>
    <t>Person C</t>
  </si>
  <si>
    <t>JAN</t>
  </si>
  <si>
    <t>FEB</t>
  </si>
  <si>
    <t>MAR</t>
  </si>
  <si>
    <t>APRIL</t>
  </si>
  <si>
    <t>MAY</t>
  </si>
  <si>
    <t>EMP NAME</t>
  </si>
  <si>
    <t>SALARY</t>
  </si>
  <si>
    <t>MUTHU</t>
  </si>
  <si>
    <t>RAJI</t>
  </si>
  <si>
    <t>LINGA</t>
  </si>
  <si>
    <t>RIYA</t>
  </si>
  <si>
    <t>SIVA</t>
  </si>
  <si>
    <t>HARI</t>
  </si>
  <si>
    <t>MARAN</t>
  </si>
  <si>
    <t>CATEGORY</t>
  </si>
  <si>
    <t>WEST</t>
  </si>
  <si>
    <t>EAST</t>
  </si>
  <si>
    <t>NORTH</t>
  </si>
  <si>
    <t xml:space="preserve">C </t>
  </si>
  <si>
    <t>Students</t>
  </si>
  <si>
    <t>Marks</t>
  </si>
  <si>
    <t>Venkat</t>
  </si>
  <si>
    <t>Asha</t>
  </si>
  <si>
    <t>Valar</t>
  </si>
  <si>
    <t>Lakshmi</t>
  </si>
  <si>
    <t>Sree</t>
  </si>
  <si>
    <t>Kala</t>
  </si>
  <si>
    <t>OrderDate</t>
  </si>
  <si>
    <t>Region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</si>
  <si>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</si>
  <si>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</si>
  <si>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</si>
  <si>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</si>
  <si>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</si>
  <si>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</si>
  <si>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</si>
  <si>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</si>
  <si>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</si>
  <si>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</si>
  <si>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</si>
  <si>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ISO</t>
  </si>
  <si>
    <t>Vehiclecode</t>
  </si>
  <si>
    <t>Zone</t>
  </si>
  <si>
    <t>Capital</t>
  </si>
  <si>
    <t>Largest city</t>
  </si>
  <si>
    <t>Statehood</t>
  </si>
  <si>
    <t>Population(2011)[27][28]</t>
  </si>
  <si>
    <t>Area(km2)</t>
  </si>
  <si>
    <t>Officiallanguages[29]</t>
  </si>
  <si>
    <t>Additional officiallanguages[29]</t>
  </si>
  <si>
    <t>Andhra Pradesh</t>
  </si>
  <si>
    <t>IN-AP</t>
  </si>
  <si>
    <t>AP</t>
  </si>
  <si>
    <t>Southern</t>
  </si>
  <si>
    <t>Amaravati[30]</t>
  </si>
  <si>
    <t>Visakhapatnam</t>
  </si>
  <si>
    <t>49,506,799</t>
  </si>
  <si>
    <t>162,975</t>
  </si>
  <si>
    <t>Telugu</t>
  </si>
  <si>
    <t>Urdu[31]</t>
  </si>
  <si>
    <t>Arunachal Pradesh</t>
  </si>
  <si>
    <t>IN-AR</t>
  </si>
  <si>
    <t>AR</t>
  </si>
  <si>
    <t>North-Eastern</t>
  </si>
  <si>
    <t>Itanagar</t>
  </si>
  <si>
    <t>1,383,727</t>
  </si>
  <si>
    <t>83,743</t>
  </si>
  <si>
    <t>English</t>
  </si>
  <si>
    <t>—</t>
  </si>
  <si>
    <t>Assam</t>
  </si>
  <si>
    <t>IN-AS</t>
  </si>
  <si>
    <t>AS</t>
  </si>
  <si>
    <t>Dispur</t>
  </si>
  <si>
    <t>Guwahati</t>
  </si>
  <si>
    <t>31,205,576</t>
  </si>
  <si>
    <t>78,438</t>
  </si>
  <si>
    <t>Assamese, Boro</t>
  </si>
  <si>
    <t>Bengali, Meitei[32]</t>
  </si>
  <si>
    <t>Bihar</t>
  </si>
  <si>
    <t>IN-BR</t>
  </si>
  <si>
    <t>BR</t>
  </si>
  <si>
    <t>Eastern</t>
  </si>
  <si>
    <t>Patna</t>
  </si>
  <si>
    <t>104,099,452</t>
  </si>
  <si>
    <t>94,163</t>
  </si>
  <si>
    <t>Hindi</t>
  </si>
  <si>
    <t>Urdu</t>
  </si>
  <si>
    <t>Chhattisgarh</t>
  </si>
  <si>
    <t>IN-CG</t>
  </si>
  <si>
    <t>CG</t>
  </si>
  <si>
    <t>Central</t>
  </si>
  <si>
    <t>Raipur[b]</t>
  </si>
  <si>
    <t>25,545,198</t>
  </si>
  <si>
    <t>135,194</t>
  </si>
  <si>
    <t>Chhattisgarhi</t>
  </si>
  <si>
    <t>Goa</t>
  </si>
  <si>
    <t>IN-GA</t>
  </si>
  <si>
    <t>GA</t>
  </si>
  <si>
    <t>Western</t>
  </si>
  <si>
    <t>Panaji</t>
  </si>
  <si>
    <t>Vasco da Gama</t>
  </si>
  <si>
    <t>1,458,545</t>
  </si>
  <si>
    <t>3,702</t>
  </si>
  <si>
    <t>Konkani</t>
  </si>
  <si>
    <t>Marathi</t>
  </si>
  <si>
    <t>Gujarat</t>
  </si>
  <si>
    <t>IN-GJ</t>
  </si>
  <si>
    <t>GJ</t>
  </si>
  <si>
    <t>Gandhinagar</t>
  </si>
  <si>
    <t>Ahmedabad</t>
  </si>
  <si>
    <t>60,439,692</t>
  </si>
  <si>
    <t>196,024</t>
  </si>
  <si>
    <t>Gujarati, Hindi</t>
  </si>
  <si>
    <t>Haryana</t>
  </si>
  <si>
    <t>IN-HR</t>
  </si>
  <si>
    <t>HR</t>
  </si>
  <si>
    <t>Northern</t>
  </si>
  <si>
    <t>Chandigarh</t>
  </si>
  <si>
    <t>Faridabad</t>
  </si>
  <si>
    <t>25,351,462</t>
  </si>
  <si>
    <t>44,212</t>
  </si>
  <si>
    <t>Punjabi[33]</t>
  </si>
  <si>
    <t>Himachal Pradesh</t>
  </si>
  <si>
    <t>IN-HP</t>
  </si>
  <si>
    <t>HP</t>
  </si>
  <si>
    <t>Shimla (Summer)Dharamshala (Winter)[34]</t>
  </si>
  <si>
    <t>Shimla</t>
  </si>
  <si>
    <t>6,864,602</t>
  </si>
  <si>
    <t>55,673</t>
  </si>
  <si>
    <t>Sanskrit[35]</t>
  </si>
  <si>
    <t>Jharkhand</t>
  </si>
  <si>
    <t>IN-JH</t>
  </si>
  <si>
    <t>JH</t>
  </si>
  <si>
    <t>Ranchi</t>
  </si>
  <si>
    <t>Jamshedpur</t>
  </si>
  <si>
    <t>32,988,134</t>
  </si>
  <si>
    <t>79,714</t>
  </si>
  <si>
    <t>Angika, Bengali, Bhojpuri, Bhumij, Ho, Kharia, Khortha, Kurmali, Kurukh, Magahi, Maithili, Mundari, Nagpuri, Odia, Santali, Urdu[36][37]</t>
  </si>
  <si>
    <t>Karnataka</t>
  </si>
  <si>
    <t>IN-KA</t>
  </si>
  <si>
    <t>KA</t>
  </si>
  <si>
    <t>Bengaluru</t>
  </si>
  <si>
    <t>61,095,297</t>
  </si>
  <si>
    <t>191,791</t>
  </si>
  <si>
    <t>Kannada</t>
  </si>
  <si>
    <t>Kerala</t>
  </si>
  <si>
    <t>IN-KL</t>
  </si>
  <si>
    <t>KL</t>
  </si>
  <si>
    <t>Thiruvananthapuram</t>
  </si>
  <si>
    <t>33,406,061</t>
  </si>
  <si>
    <t>38,863</t>
  </si>
  <si>
    <t>Malayalam</t>
  </si>
  <si>
    <t>English[38]</t>
  </si>
  <si>
    <t>Madhya Pradesh</t>
  </si>
  <si>
    <t>IN-MP</t>
  </si>
  <si>
    <t>MP</t>
  </si>
  <si>
    <t>Bhopal</t>
  </si>
  <si>
    <t>Indore</t>
  </si>
  <si>
    <t>72,626,809</t>
  </si>
  <si>
    <t>308,252</t>
  </si>
  <si>
    <t>Maharashtra</t>
  </si>
  <si>
    <t>IN-MH</t>
  </si>
  <si>
    <t>MH</t>
  </si>
  <si>
    <t>Mumbai (Summer)Nagpur (Winter)[39][40]</t>
  </si>
  <si>
    <t>Mumbai</t>
  </si>
  <si>
    <t>112,374,333</t>
  </si>
  <si>
    <t>307,713</t>
  </si>
  <si>
    <t>Manipur</t>
  </si>
  <si>
    <t>IN-MN</t>
  </si>
  <si>
    <t>MN</t>
  </si>
  <si>
    <t>Imphal</t>
  </si>
  <si>
    <t>2,855,794</t>
  </si>
  <si>
    <t>22,327</t>
  </si>
  <si>
    <t>Meitei</t>
  </si>
  <si>
    <t>Meghalaya</t>
  </si>
  <si>
    <t>IN-ML</t>
  </si>
  <si>
    <t>ML</t>
  </si>
  <si>
    <t>Shillong</t>
  </si>
  <si>
    <t>2,966,889</t>
  </si>
  <si>
    <t>22,429</t>
  </si>
  <si>
    <t>Mizoram</t>
  </si>
  <si>
    <t>IN-MZ</t>
  </si>
  <si>
    <t>MZ</t>
  </si>
  <si>
    <t>Aizawl</t>
  </si>
  <si>
    <t>1,097,206</t>
  </si>
  <si>
    <t>21,081</t>
  </si>
  <si>
    <t>Mizo, English</t>
  </si>
  <si>
    <t>Nagaland</t>
  </si>
  <si>
    <t>IN-NL</t>
  </si>
  <si>
    <t>NL</t>
  </si>
  <si>
    <t>Kohima</t>
  </si>
  <si>
    <t>Dimapur</t>
  </si>
  <si>
    <t>1,978,502</t>
  </si>
  <si>
    <t>16,579</t>
  </si>
  <si>
    <t>Odisha</t>
  </si>
  <si>
    <t>IN-OD</t>
  </si>
  <si>
    <t>OD</t>
  </si>
  <si>
    <t>Bhubaneswar</t>
  </si>
  <si>
    <t>41,974,218</t>
  </si>
  <si>
    <t>155,707</t>
  </si>
  <si>
    <t>Odia</t>
  </si>
  <si>
    <t>Punjab</t>
  </si>
  <si>
    <t>IN-PB</t>
  </si>
  <si>
    <t>PB</t>
  </si>
  <si>
    <t>Ludhiana</t>
  </si>
  <si>
    <t>27,743,338</t>
  </si>
  <si>
    <t>50,362</t>
  </si>
  <si>
    <t>Punjabi</t>
  </si>
  <si>
    <t>Rajasthan</t>
  </si>
  <si>
    <t>IN-RJ</t>
  </si>
  <si>
    <t>RJ</t>
  </si>
  <si>
    <t>Jaipur</t>
  </si>
  <si>
    <t>68,548,437</t>
  </si>
  <si>
    <t>342,239</t>
  </si>
  <si>
    <t>Sikkim</t>
  </si>
  <si>
    <t>IN-SK</t>
  </si>
  <si>
    <t>SK</t>
  </si>
  <si>
    <t>Gangtok</t>
  </si>
  <si>
    <t>610,577</t>
  </si>
  <si>
    <t>7,096</t>
  </si>
  <si>
    <t>Nepali, Sikkimese, Lepcha, English[41]</t>
  </si>
  <si>
    <t>Gurung, Limbu, Magar, Mukhia, Newari, Rai, Sherpa, Tamang</t>
  </si>
  <si>
    <t>Tamil Nadu</t>
  </si>
  <si>
    <t>IN-TN</t>
  </si>
  <si>
    <t>TN</t>
  </si>
  <si>
    <t>Chennai</t>
  </si>
  <si>
    <t>72,147,030</t>
  </si>
  <si>
    <t>130,058</t>
  </si>
  <si>
    <t>Tamil</t>
  </si>
  <si>
    <t>Telangana</t>
  </si>
  <si>
    <t>IN-TS</t>
  </si>
  <si>
    <t>TG[42]</t>
  </si>
  <si>
    <t>Hyderabad[c]</t>
  </si>
  <si>
    <t>35,193,978[46]</t>
  </si>
  <si>
    <t>112,077[46]</t>
  </si>
  <si>
    <t>Urdu[47]</t>
  </si>
  <si>
    <t>Tripura</t>
  </si>
  <si>
    <t>IN-TR</t>
  </si>
  <si>
    <t>TR</t>
  </si>
  <si>
    <t>Agartala</t>
  </si>
  <si>
    <t>3,673,917</t>
  </si>
  <si>
    <t>10,491</t>
  </si>
  <si>
    <t>Bengali, English, Kokborok</t>
  </si>
  <si>
    <t>Uttar Pradesh</t>
  </si>
  <si>
    <t>IN-UP</t>
  </si>
  <si>
    <t>UP</t>
  </si>
  <si>
    <t>Lucknow</t>
  </si>
  <si>
    <t>199,812,341</t>
  </si>
  <si>
    <t>240,928</t>
  </si>
  <si>
    <t>Uttarakhand</t>
  </si>
  <si>
    <t>IN-UK</t>
  </si>
  <si>
    <t>Bhararisain (Summer)Dehradun (Winter)[48]</t>
  </si>
  <si>
    <t>Dehradun</t>
  </si>
  <si>
    <t>10,086,292</t>
  </si>
  <si>
    <t>53,483</t>
  </si>
  <si>
    <t>Sanskrit[49]</t>
  </si>
  <si>
    <t>West Bengal</t>
  </si>
  <si>
    <t>IN-WB</t>
  </si>
  <si>
    <t>WB</t>
  </si>
  <si>
    <t>Kolkata</t>
  </si>
  <si>
    <t>91,276,115</t>
  </si>
  <si>
    <t>88,752</t>
  </si>
  <si>
    <t>Bengali, English</t>
  </si>
  <si>
    <t>Nepali,[d] Hindi, Odia, Punjabi, Santali, Telugu, Urdu, Kamatapuri, Rajbanshi, Kurmali, Kurukh[e]</t>
  </si>
  <si>
    <t>Total</t>
  </si>
  <si>
    <t/>
  </si>
  <si>
    <t>1,178,310,321</t>
  </si>
  <si>
    <t>3,054,066</t>
  </si>
  <si>
    <t>StudentName</t>
  </si>
  <si>
    <t>Aarthi</t>
  </si>
  <si>
    <t>Abinaya</t>
  </si>
  <si>
    <t>Abiwin</t>
  </si>
  <si>
    <t>Poorni</t>
  </si>
  <si>
    <t>Neethiyal</t>
  </si>
  <si>
    <t>Aruna</t>
  </si>
  <si>
    <t>Divya</t>
  </si>
  <si>
    <t>Sweety</t>
  </si>
  <si>
    <t>Maha</t>
  </si>
  <si>
    <t>Haritha</t>
  </si>
  <si>
    <t>Indhu</t>
  </si>
  <si>
    <t>Jebina</t>
  </si>
  <si>
    <t>Kalai</t>
  </si>
  <si>
    <t>Kanish</t>
  </si>
  <si>
    <t>Kaviya</t>
  </si>
  <si>
    <t>Kanjana</t>
  </si>
  <si>
    <t>Parvathi</t>
  </si>
  <si>
    <t>Lenuka</t>
  </si>
  <si>
    <t>Maharasi</t>
  </si>
  <si>
    <t>Jebila</t>
  </si>
  <si>
    <t>Manthra</t>
  </si>
  <si>
    <t>Dharshini</t>
  </si>
  <si>
    <t>Sowndharya</t>
  </si>
  <si>
    <t xml:space="preserve"> </t>
  </si>
  <si>
    <t>IF AND SORT FORMULA</t>
  </si>
  <si>
    <t>IF FORMULA</t>
  </si>
  <si>
    <t>X</t>
  </si>
  <si>
    <t>Y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</si>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</sst>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7825896762904"/>
          <c:y val="0.18981481481481483"/>
          <c:w val="0.85259951881014862"/>
          <c:h val="0.70315616797900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and Column bars'!$B$1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'Bar and Column bars'!$A$2:$A$6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'Bar and Column bars'!$B$2:$B$6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2-40AB-A0D8-EF57248F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7183823"/>
        <c:axId val="1457180943"/>
      </c:barChart>
      <c:catAx>
        <c:axId val="145718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80943"/>
        <c:crosses val="autoZero"/>
        <c:auto val="1"/>
        <c:lblAlgn val="ctr"/>
        <c:lblOffset val="100"/>
        <c:noMultiLvlLbl val="0"/>
      </c:catAx>
      <c:valAx>
        <c:axId val="145718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and Column bars'!$B$1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'Bar and Column bars'!$A$2:$A$6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'Bar and Column bars'!$B$2:$B$6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B-4C53-A3FB-9002A1E76A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5036367"/>
        <c:axId val="1655461695"/>
      </c:barChart>
      <c:catAx>
        <c:axId val="16550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61695"/>
        <c:crosses val="autoZero"/>
        <c:auto val="1"/>
        <c:lblAlgn val="ctr"/>
        <c:lblOffset val="100"/>
        <c:noMultiLvlLbl val="0"/>
      </c:catAx>
      <c:valAx>
        <c:axId val="16554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36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D-4C16-80DE-CB53E8AC1369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bars'!$C$26:$C$30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D-4C16-80DE-CB53E8AC1369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bars'!$D$26:$D$30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D-4C16-80DE-CB53E8AC13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180687"/>
        <c:axId val="1643942223"/>
      </c:barChart>
      <c:catAx>
        <c:axId val="15501806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42223"/>
        <c:crosses val="autoZero"/>
        <c:auto val="1"/>
        <c:lblAlgn val="ctr"/>
        <c:lblOffset val="100"/>
        <c:noMultiLvlLbl val="0"/>
      </c:catAx>
      <c:valAx>
        <c:axId val="16439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8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F90-A7A7-DD1CA779DF77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bars'!$C$26:$C$30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3-4F90-A7A7-DD1CA779DF77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bars'!$D$26:$D$30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3-4F90-A7A7-DD1CA779DF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55463615"/>
        <c:axId val="1655465055"/>
      </c:barChart>
      <c:catAx>
        <c:axId val="165546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65055"/>
        <c:crosses val="autoZero"/>
        <c:auto val="1"/>
        <c:lblAlgn val="ctr"/>
        <c:lblOffset val="100"/>
        <c:noMultiLvlLbl val="0"/>
      </c:catAx>
      <c:valAx>
        <c:axId val="16554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6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1-4792-B455-449AD0C57A86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bars'!$C$26:$C$31</c:f>
              <c:numCache>
                <c:formatCode>General</c:formatCode>
                <c:ptCount val="6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1-4792-B455-449AD0C57A86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and Column bars'!$A$26:$A$31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bars'!$D$26:$D$31</c:f>
              <c:numCache>
                <c:formatCode>General</c:formatCode>
                <c:ptCount val="6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1-4792-B455-449AD0C57A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78258959"/>
        <c:axId val="1678259919"/>
      </c:barChart>
      <c:catAx>
        <c:axId val="167825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59919"/>
        <c:crosses val="autoZero"/>
        <c:auto val="1"/>
        <c:lblAlgn val="ctr"/>
        <c:lblOffset val="100"/>
        <c:noMultiLvlLbl val="0"/>
      </c:catAx>
      <c:valAx>
        <c:axId val="16782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5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8-45BB-9A64-DCEF06F0E9E5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bars'!$C$26:$C$30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8-45BB-9A64-DCEF06F0E9E5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bars'!$D$26:$D$30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D8-45BB-9A64-DCEF06F0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7182383"/>
        <c:axId val="1457182863"/>
      </c:barChart>
      <c:catAx>
        <c:axId val="145718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82863"/>
        <c:crosses val="autoZero"/>
        <c:auto val="1"/>
        <c:lblAlgn val="ctr"/>
        <c:lblOffset val="100"/>
        <c:noMultiLvlLbl val="0"/>
      </c:catAx>
      <c:valAx>
        <c:axId val="145718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1-433A-842E-8BE70CC52365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bars'!$C$26:$C$30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1-433A-842E-8BE70CC52365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bars'!$D$26:$D$30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1-433A-842E-8BE70CC5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3433087"/>
        <c:axId val="1543431167"/>
      </c:barChart>
      <c:catAx>
        <c:axId val="154343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31167"/>
        <c:crosses val="autoZero"/>
        <c:auto val="1"/>
        <c:lblAlgn val="ctr"/>
        <c:lblOffset val="100"/>
        <c:noMultiLvlLbl val="0"/>
      </c:catAx>
      <c:valAx>
        <c:axId val="154343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and Column bars'!$B$25</c:f>
              <c:strCache>
                <c:ptCount val="1"/>
                <c:pt idx="0">
                  <c:v>Person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bars'!$B$26:$B$30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7-4A28-9CA3-48923AA2F145}"/>
            </c:ext>
          </c:extLst>
        </c:ser>
        <c:ser>
          <c:idx val="1"/>
          <c:order val="1"/>
          <c:tx>
            <c:strRef>
              <c:f>'Bar and Column bars'!$C$25</c:f>
              <c:strCache>
                <c:ptCount val="1"/>
                <c:pt idx="0">
                  <c:v>Person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bars'!$C$26:$C$30</c:f>
              <c:numCache>
                <c:formatCode>General</c:formatCode>
                <c:ptCount val="5"/>
                <c:pt idx="0">
                  <c:v>45</c:v>
                </c:pt>
                <c:pt idx="1">
                  <c:v>78</c:v>
                </c:pt>
                <c:pt idx="2">
                  <c:v>31</c:v>
                </c:pt>
                <c:pt idx="3">
                  <c:v>66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7-4A28-9CA3-48923AA2F145}"/>
            </c:ext>
          </c:extLst>
        </c:ser>
        <c:ser>
          <c:idx val="2"/>
          <c:order val="2"/>
          <c:tx>
            <c:strRef>
              <c:f>'Bar and Column bars'!$D$25</c:f>
              <c:strCache>
                <c:ptCount val="1"/>
                <c:pt idx="0">
                  <c:v>Person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and Column bars'!$A$26:$A$30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and Column bars'!$D$26:$D$30</c:f>
              <c:numCache>
                <c:formatCode>General</c:formatCode>
                <c:ptCount val="5"/>
                <c:pt idx="0">
                  <c:v>78</c:v>
                </c:pt>
                <c:pt idx="1">
                  <c:v>96</c:v>
                </c:pt>
                <c:pt idx="2">
                  <c:v>45</c:v>
                </c:pt>
                <c:pt idx="3">
                  <c:v>12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7-4A28-9CA3-48923AA2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044607"/>
        <c:axId val="1453042687"/>
      </c:barChart>
      <c:catAx>
        <c:axId val="145304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42687"/>
        <c:crosses val="autoZero"/>
        <c:auto val="1"/>
        <c:lblAlgn val="ctr"/>
        <c:lblOffset val="100"/>
        <c:noMultiLvlLbl val="0"/>
      </c:catAx>
      <c:valAx>
        <c:axId val="145304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4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Chart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and Area 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'!$B$2:$B$11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95</c:v>
                </c:pt>
                <c:pt idx="3">
                  <c:v>75</c:v>
                </c:pt>
                <c:pt idx="4">
                  <c:v>60</c:v>
                </c:pt>
                <c:pt idx="5">
                  <c:v>30</c:v>
                </c:pt>
                <c:pt idx="6">
                  <c:v>55</c:v>
                </c:pt>
                <c:pt idx="7">
                  <c:v>33</c:v>
                </c:pt>
                <c:pt idx="8">
                  <c:v>48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7-439D-A636-DC7414B5DC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1454079"/>
        <c:axId val="1551454559"/>
      </c:lineChart>
      <c:dateAx>
        <c:axId val="15514540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54559"/>
        <c:crosses val="autoZero"/>
        <c:auto val="1"/>
        <c:lblOffset val="100"/>
        <c:baseTimeUnit val="days"/>
      </c:dateAx>
      <c:valAx>
        <c:axId val="15514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45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and Area 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'!$B$2:$B$11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95</c:v>
                </c:pt>
                <c:pt idx="3">
                  <c:v>75</c:v>
                </c:pt>
                <c:pt idx="4">
                  <c:v>60</c:v>
                </c:pt>
                <c:pt idx="5">
                  <c:v>30</c:v>
                </c:pt>
                <c:pt idx="6">
                  <c:v>55</c:v>
                </c:pt>
                <c:pt idx="7">
                  <c:v>33</c:v>
                </c:pt>
                <c:pt idx="8">
                  <c:v>48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E-4232-88F6-4424F2E40AB0}"/>
            </c:ext>
          </c:extLst>
        </c:ser>
        <c:ser>
          <c:idx val="1"/>
          <c:order val="1"/>
          <c:tx>
            <c:strRef>
              <c:f>'Line and Area 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'!$C$2:$C$11</c:f>
              <c:numCache>
                <c:formatCode>General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-40</c:v>
                </c:pt>
                <c:pt idx="3">
                  <c:v>50</c:v>
                </c:pt>
                <c:pt idx="4">
                  <c:v>-70</c:v>
                </c:pt>
                <c:pt idx="5">
                  <c:v>45</c:v>
                </c:pt>
                <c:pt idx="6">
                  <c:v>-20</c:v>
                </c:pt>
                <c:pt idx="7">
                  <c:v>90</c:v>
                </c:pt>
                <c:pt idx="8">
                  <c:v>75</c:v>
                </c:pt>
                <c:pt idx="9">
                  <c:v>-51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E-4232-88F6-4424F2E4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181647"/>
        <c:axId val="1550183087"/>
      </c:lineChart>
      <c:dateAx>
        <c:axId val="15501816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83087"/>
        <c:crosses val="autoZero"/>
        <c:auto val="1"/>
        <c:lblOffset val="100"/>
        <c:baseTimeUnit val="days"/>
      </c:dateAx>
      <c:valAx>
        <c:axId val="155018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8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</a:t>
            </a:r>
            <a:r>
              <a:rPr lang="en-US" baseline="0"/>
              <a:t> Chart </a:t>
            </a:r>
            <a:r>
              <a:rPr lang="en-US"/>
              <a:t>Sales</a:t>
            </a:r>
          </a:p>
        </c:rich>
      </c:tx>
      <c:layout>
        <c:manualLayout>
          <c:xMode val="edge"/>
          <c:yMode val="edge"/>
          <c:x val="0.4450041193392850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 and Area 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'!$B$2:$B$11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95</c:v>
                </c:pt>
                <c:pt idx="3">
                  <c:v>75</c:v>
                </c:pt>
                <c:pt idx="4">
                  <c:v>60</c:v>
                </c:pt>
                <c:pt idx="5">
                  <c:v>30</c:v>
                </c:pt>
                <c:pt idx="6">
                  <c:v>55</c:v>
                </c:pt>
                <c:pt idx="7">
                  <c:v>33</c:v>
                </c:pt>
                <c:pt idx="8">
                  <c:v>48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7-4257-B0BD-72E729C49F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49328815"/>
        <c:axId val="1549329775"/>
      </c:areaChart>
      <c:dateAx>
        <c:axId val="15493288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29775"/>
        <c:crosses val="autoZero"/>
        <c:auto val="1"/>
        <c:lblOffset val="100"/>
        <c:baseTimeUnit val="days"/>
      </c:dateAx>
      <c:valAx>
        <c:axId val="154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2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 and Area 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'!$B$2:$B$11</c:f>
              <c:numCache>
                <c:formatCode>General</c:formatCode>
                <c:ptCount val="10"/>
                <c:pt idx="0">
                  <c:v>90</c:v>
                </c:pt>
                <c:pt idx="1">
                  <c:v>80</c:v>
                </c:pt>
                <c:pt idx="2">
                  <c:v>95</c:v>
                </c:pt>
                <c:pt idx="3">
                  <c:v>75</c:v>
                </c:pt>
                <c:pt idx="4">
                  <c:v>60</c:v>
                </c:pt>
                <c:pt idx="5">
                  <c:v>30</c:v>
                </c:pt>
                <c:pt idx="6">
                  <c:v>55</c:v>
                </c:pt>
                <c:pt idx="7">
                  <c:v>33</c:v>
                </c:pt>
                <c:pt idx="8">
                  <c:v>48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6-47B2-A1A6-B0EA8E1A3A4D}"/>
            </c:ext>
          </c:extLst>
        </c:ser>
        <c:ser>
          <c:idx val="1"/>
          <c:order val="1"/>
          <c:tx>
            <c:strRef>
              <c:f>'Line and Area 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'Line and Area '!$A$2:$A$11</c:f>
              <c:numCache>
                <c:formatCode>m/d/yyyy</c:formatCode>
                <c:ptCount val="10"/>
                <c:pt idx="0">
                  <c:v>46064</c:v>
                </c:pt>
                <c:pt idx="1">
                  <c:v>46065</c:v>
                </c:pt>
                <c:pt idx="2">
                  <c:v>46066</c:v>
                </c:pt>
                <c:pt idx="3">
                  <c:v>46067</c:v>
                </c:pt>
                <c:pt idx="4">
                  <c:v>46068</c:v>
                </c:pt>
                <c:pt idx="5">
                  <c:v>46069</c:v>
                </c:pt>
                <c:pt idx="6">
                  <c:v>46070</c:v>
                </c:pt>
                <c:pt idx="7">
                  <c:v>46071</c:v>
                </c:pt>
                <c:pt idx="8">
                  <c:v>46072</c:v>
                </c:pt>
                <c:pt idx="9">
                  <c:v>46073</c:v>
                </c:pt>
              </c:numCache>
            </c:numRef>
          </c:cat>
          <c:val>
            <c:numRef>
              <c:f>'Line and Area '!$C$2:$C$11</c:f>
              <c:numCache>
                <c:formatCode>General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-40</c:v>
                </c:pt>
                <c:pt idx="3">
                  <c:v>50</c:v>
                </c:pt>
                <c:pt idx="4">
                  <c:v>-70</c:v>
                </c:pt>
                <c:pt idx="5">
                  <c:v>45</c:v>
                </c:pt>
                <c:pt idx="6">
                  <c:v>-20</c:v>
                </c:pt>
                <c:pt idx="7">
                  <c:v>90</c:v>
                </c:pt>
                <c:pt idx="8">
                  <c:v>75</c:v>
                </c:pt>
                <c:pt idx="9">
                  <c:v>-51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6-47B2-A1A6-B0EA8E1A3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320975"/>
        <c:axId val="1655459295"/>
      </c:areaChart>
      <c:dateAx>
        <c:axId val="18423209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59295"/>
        <c:crosses val="autoZero"/>
        <c:auto val="1"/>
        <c:lblOffset val="100"/>
        <c:baseTimeUnit val="days"/>
      </c:dateAx>
      <c:valAx>
        <c:axId val="16554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20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9-4A78-A523-8EFF0A4E1E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9-4A78-A523-8EFF0A4E1E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C9-4A78-A523-8EFF0A4E1E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C9-4A78-A523-8EFF0A4E1E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'Pie chart'!$B$2:$B$5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72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0-4B47-9C93-479FA3215E29}"/>
            </c:ext>
          </c:extLst>
        </c:ser>
        <c:ser>
          <c:idx val="1"/>
          <c:order val="1"/>
          <c:tx>
            <c:strRef>
              <c:f>'Pie chart'!$C$1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C9-4A78-A523-8EFF0A4E1E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C9-4A78-A523-8EFF0A4E1E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C9-4A78-A523-8EFF0A4E1E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C9-4A78-A523-8EFF0A4E1E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'Pie chart'!$C$2:$C$5</c:f>
              <c:numCache>
                <c:formatCode>General</c:formatCode>
                <c:ptCount val="4"/>
                <c:pt idx="0">
                  <c:v>82</c:v>
                </c:pt>
                <c:pt idx="1">
                  <c:v>94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0-4B47-9C93-479FA3215E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Doughnut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9B-47A9-A0C3-729F262F7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39B-47A9-A0C3-729F262F7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9B-47A9-A0C3-729F262F7D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9B-47A9-A0C3-729F262F7D42}"/>
              </c:ext>
            </c:extLst>
          </c:dPt>
          <c:dLbls>
            <c:dLbl>
              <c:idx val="0"/>
              <c:layout>
                <c:manualLayout>
                  <c:x val="7.6277650648360035E-2"/>
                  <c:y val="-6.7340067340067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9B-47A9-A0C3-729F262F7D42}"/>
                </c:ext>
              </c:extLst>
            </c:dLbl>
            <c:dLbl>
              <c:idx val="1"/>
              <c:layout>
                <c:manualLayout>
                  <c:x val="9.5347063310450036E-2"/>
                  <c:y val="3.3670033670033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9B-47A9-A0C3-729F262F7D42}"/>
                </c:ext>
              </c:extLst>
            </c:dLbl>
            <c:dLbl>
              <c:idx val="2"/>
              <c:layout>
                <c:manualLayout>
                  <c:x val="-8.0091533180778107E-2"/>
                  <c:y val="6.1728395061728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9B-47A9-A0C3-729F262F7D42}"/>
                </c:ext>
              </c:extLst>
            </c:dLbl>
            <c:dLbl>
              <c:idx val="3"/>
              <c:layout>
                <c:manualLayout>
                  <c:x val="-8.3905415713196069E-2"/>
                  <c:y val="-5.6116722783389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9B-47A9-A0C3-729F262F7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'Pie chart'!$B$2:$B$5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72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B-47A9-A0C3-729F262F7D42}"/>
            </c:ext>
          </c:extLst>
        </c:ser>
        <c:ser>
          <c:idx val="1"/>
          <c:order val="1"/>
          <c:tx>
            <c:strRef>
              <c:f>'Pie chart'!$C$1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9B-47A9-A0C3-729F262F7D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9B-47A9-A0C3-729F262F7D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39B-47A9-A0C3-729F262F7D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9B-47A9-A0C3-729F262F7D42}"/>
              </c:ext>
            </c:extLst>
          </c:dPt>
          <c:dLbls>
            <c:dLbl>
              <c:idx val="0"/>
              <c:layout>
                <c:manualLayout>
                  <c:x val="6.4836003051106025E-2"/>
                  <c:y val="-5.61167227833894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9B-47A9-A0C3-729F262F7D42}"/>
                </c:ext>
              </c:extLst>
            </c:dLbl>
            <c:dLbl>
              <c:idx val="1"/>
              <c:layout>
                <c:manualLayout>
                  <c:x val="4.1952707856598014E-2"/>
                  <c:y val="3.9281705948372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9B-47A9-A0C3-729F262F7D42}"/>
                </c:ext>
              </c:extLst>
            </c:dLbl>
            <c:dLbl>
              <c:idx val="2"/>
              <c:layout>
                <c:manualLayout>
                  <c:x val="-6.4836003051106025E-2"/>
                  <c:y val="5.61167227833894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9B-47A9-A0C3-729F262F7D42}"/>
                </c:ext>
              </c:extLst>
            </c:dLbl>
            <c:dLbl>
              <c:idx val="3"/>
              <c:layout>
                <c:manualLayout>
                  <c:x val="-1.1441647597254075E-2"/>
                  <c:y val="-5.05050505050505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9B-47A9-A0C3-729F262F7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'Pie chart'!$C$2:$C$5</c:f>
              <c:numCache>
                <c:formatCode>General</c:formatCode>
                <c:ptCount val="4"/>
                <c:pt idx="0">
                  <c:v>82</c:v>
                </c:pt>
                <c:pt idx="1">
                  <c:v>94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B-47A9-A0C3-729F262F7D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Combo!$B$2:$B$5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72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C-4437-8712-A2780C26B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49270511"/>
        <c:axId val="1649271951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Combo!$C$2:$C$5</c:f>
              <c:numCache>
                <c:formatCode>General</c:formatCode>
                <c:ptCount val="4"/>
                <c:pt idx="0">
                  <c:v>82</c:v>
                </c:pt>
                <c:pt idx="1">
                  <c:v>94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C-4437-8712-A2780C26B9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270511"/>
        <c:axId val="1649271951"/>
      </c:lineChart>
      <c:catAx>
        <c:axId val="16492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71951"/>
        <c:crosses val="autoZero"/>
        <c:auto val="1"/>
        <c:lblAlgn val="ctr"/>
        <c:lblOffset val="100"/>
        <c:noMultiLvlLbl val="0"/>
      </c:catAx>
      <c:valAx>
        <c:axId val="16492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7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Combo!$B$2:$B$5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72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1-4108-9600-44FD81D3C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314735"/>
        <c:axId val="1842317135"/>
      </c:barChart>
      <c:lineChart>
        <c:grouping val="standar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Combo!$C$2:$C$5</c:f>
              <c:numCache>
                <c:formatCode>General</c:formatCode>
                <c:ptCount val="4"/>
                <c:pt idx="0">
                  <c:v>82</c:v>
                </c:pt>
                <c:pt idx="1">
                  <c:v>94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1-4108-9600-44FD81D3C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505343"/>
        <c:axId val="1785504863"/>
      </c:lineChart>
      <c:catAx>
        <c:axId val="184231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17135"/>
        <c:crosses val="autoZero"/>
        <c:auto val="1"/>
        <c:lblAlgn val="ctr"/>
        <c:lblOffset val="100"/>
        <c:noMultiLvlLbl val="0"/>
      </c:catAx>
      <c:valAx>
        <c:axId val="184231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14735"/>
        <c:crosses val="autoZero"/>
        <c:crossBetween val="between"/>
      </c:valAx>
      <c:valAx>
        <c:axId val="17855048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05343"/>
        <c:crosses val="max"/>
        <c:crossBetween val="between"/>
      </c:valAx>
      <c:catAx>
        <c:axId val="1785505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550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Combo!$B$2:$B$5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72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D-42DE-AC68-0825C482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252959"/>
        <c:axId val="1645251999"/>
      </c:areaChart>
      <c:barChart>
        <c:barDir val="col"/>
        <c:grouping val="clustered"/>
        <c:varyColors val="0"/>
        <c:ser>
          <c:idx val="1"/>
          <c:order val="1"/>
          <c:tx>
            <c:strRef>
              <c:f>Combo!$C$1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Combo!$A$2:$A$5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Combo!$C$2:$C$5</c:f>
              <c:numCache>
                <c:formatCode>General</c:formatCode>
                <c:ptCount val="4"/>
                <c:pt idx="0">
                  <c:v>82</c:v>
                </c:pt>
                <c:pt idx="1">
                  <c:v>94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D-42DE-AC68-0825C482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5252959"/>
        <c:axId val="1645251999"/>
      </c:barChart>
      <c:catAx>
        <c:axId val="16452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51999"/>
        <c:crosses val="autoZero"/>
        <c:auto val="1"/>
        <c:lblAlgn val="ctr"/>
        <c:lblOffset val="100"/>
        <c:noMultiLvlLbl val="0"/>
      </c:catAx>
      <c:valAx>
        <c:axId val="16452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5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Buttons!$H$2</c:f>
          <c:strCache>
            <c:ptCount val="1"/>
            <c:pt idx="0">
              <c:v>Bottom 10 Students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Buttons!$E$2:$E$11</c:f>
              <c:strCache>
                <c:ptCount val="10"/>
                <c:pt idx="0">
                  <c:v>Lenuka</c:v>
                </c:pt>
                <c:pt idx="1">
                  <c:v>Jebina</c:v>
                </c:pt>
                <c:pt idx="2">
                  <c:v>Aruna</c:v>
                </c:pt>
                <c:pt idx="3">
                  <c:v>Dharshini</c:v>
                </c:pt>
                <c:pt idx="4">
                  <c:v>Manthra</c:v>
                </c:pt>
                <c:pt idx="5">
                  <c:v>Parvathi</c:v>
                </c:pt>
                <c:pt idx="6">
                  <c:v>Indhu</c:v>
                </c:pt>
                <c:pt idx="7">
                  <c:v>Abiwin</c:v>
                </c:pt>
                <c:pt idx="8">
                  <c:v>Sweety</c:v>
                </c:pt>
                <c:pt idx="9">
                  <c:v>Divya</c:v>
                </c:pt>
              </c:strCache>
            </c:strRef>
          </c:cat>
          <c:val>
            <c:numRef>
              <c:f>Buttons!$F$2:$F$11</c:f>
              <c:numCache>
                <c:formatCode>General</c:formatCode>
                <c:ptCount val="10"/>
                <c:pt idx="0">
                  <c:v>35</c:v>
                </c:pt>
                <c:pt idx="1">
                  <c:v>38</c:v>
                </c:pt>
                <c:pt idx="2">
                  <c:v>45</c:v>
                </c:pt>
                <c:pt idx="3">
                  <c:v>48</c:v>
                </c:pt>
                <c:pt idx="4">
                  <c:v>50</c:v>
                </c:pt>
                <c:pt idx="5">
                  <c:v>51</c:v>
                </c:pt>
                <c:pt idx="6">
                  <c:v>55</c:v>
                </c:pt>
                <c:pt idx="7">
                  <c:v>56</c:v>
                </c:pt>
                <c:pt idx="8">
                  <c:v>59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9-413F-B0FD-4E2AA60D4C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7543296"/>
        <c:axId val="1747544736"/>
      </c:barChart>
      <c:catAx>
        <c:axId val="17475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4736"/>
        <c:crosses val="autoZero"/>
        <c:auto val="1"/>
        <c:lblAlgn val="ctr"/>
        <c:lblOffset val="100"/>
        <c:noMultiLvlLbl val="0"/>
      </c:catAx>
      <c:valAx>
        <c:axId val="17475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54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12</c:v>
                </c:pt>
                <c:pt idx="4">
                  <c:v>6</c:v>
                </c:pt>
              </c:numCache>
            </c:numRef>
          </c:xVal>
          <c:yVal>
            <c:numRef>
              <c:f>'Scatter chart'!$B$2:$B$6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D-4FC2-9496-386D3BF07C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42384528"/>
        <c:axId val="1842390288"/>
      </c:scatterChart>
      <c:valAx>
        <c:axId val="184238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90288"/>
        <c:crosses val="autoZero"/>
        <c:crossBetween val="midCat"/>
      </c:valAx>
      <c:valAx>
        <c:axId val="18423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8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12</c:v>
                </c:pt>
                <c:pt idx="4">
                  <c:v>6</c:v>
                </c:pt>
              </c:numCache>
            </c:numRef>
          </c:xVal>
          <c:yVal>
            <c:numRef>
              <c:f>'Scatter chart'!$B$2:$B$6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5-4590-A2BC-082DA3375375}"/>
            </c:ext>
          </c:extLst>
        </c:ser>
        <c:ser>
          <c:idx val="1"/>
          <c:order val="1"/>
          <c:tx>
            <c:strRef>
              <c:f>'Scatter chart'!$C$1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12</c:v>
                </c:pt>
                <c:pt idx="4">
                  <c:v>6</c:v>
                </c:pt>
              </c:numCache>
            </c:numRef>
          </c:xVal>
          <c:yVal>
            <c:numRef>
              <c:f>'Scatter chart'!$C$2:$C$6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E5-4590-A2BC-082DA337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336976"/>
        <c:axId val="1635931744"/>
      </c:scatterChart>
      <c:valAx>
        <c:axId val="159333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931744"/>
        <c:crosses val="autoZero"/>
        <c:crossBetween val="midCat"/>
      </c:valAx>
      <c:valAx>
        <c:axId val="16359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3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chart'!$A$2:$A$6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12</c:v>
                </c:pt>
                <c:pt idx="4">
                  <c:v>6</c:v>
                </c:pt>
              </c:numCache>
            </c:numRef>
          </c:xVal>
          <c:yVal>
            <c:numRef>
              <c:f>'Scatter chart'!$B$2:$B$6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</c:numCache>
            </c:numRef>
          </c:yVal>
          <c:bubbleSize>
            <c:numRef>
              <c:f>'Scatter chart'!$C$2:$C$6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DCD4-47DE-A6B1-636B504FF6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842390768"/>
        <c:axId val="1842377328"/>
      </c:bubbleChart>
      <c:valAx>
        <c:axId val="184239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77328"/>
        <c:crosses val="autoZero"/>
        <c:crossBetween val="midCat"/>
      </c:valAx>
      <c:valAx>
        <c:axId val="18423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39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Radar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Y1</c:v>
                </c:pt>
              </c:strCache>
            </c:strRef>
          </c:cat>
          <c:val>
            <c:numRef>
              <c:f>Radar!$A$2:$C$2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E-4D99-9805-FC90670B47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Radar!$A$1:$C$1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Y1</c:v>
                </c:pt>
              </c:strCache>
            </c:strRef>
          </c:cat>
          <c:val>
            <c:numRef>
              <c:f>Radar!$A$3:$C$3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E-4D99-9805-FC90670B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587232"/>
        <c:axId val="2068587712"/>
      </c:radarChart>
      <c:catAx>
        <c:axId val="206858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87712"/>
        <c:crosses val="autoZero"/>
        <c:auto val="1"/>
        <c:lblAlgn val="ctr"/>
        <c:lblOffset val="100"/>
        <c:noMultiLvlLbl val="0"/>
      </c:catAx>
      <c:valAx>
        <c:axId val="20685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5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Tree 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Tree map</a:t>
          </a:r>
        </a:p>
      </cx:txPr>
    </cx:title>
    <cx:plotArea>
      <cx:plotAreaRegion>
        <cx:series layoutId="treemap" uniqueId="{82F30892-E13A-4599-BBD1-77D1F63EA4C6}">
          <cx:tx>
            <cx:txData>
              <cx:f>_xlchart.v1.1</cx:f>
              <cx:v>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Sun burst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Sun burst</a:t>
          </a:r>
        </a:p>
      </cx:txPr>
    </cx:title>
    <cx:plotArea>
      <cx:plotAreaRegion>
        <cx:series layoutId="sunburst" uniqueId="{CD9D64EC-F8E8-4E84-BF40-8A2BBAF61911}">
          <cx:tx>
            <cx:txData>
              <cx:f>_xlchart.v1.7</cx:f>
              <cx:v>SALES</cx:v>
            </cx:txData>
          </cx:tx>
          <cx:dataLabels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Funnel Chart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Funnel Chart </a:t>
          </a:r>
        </a:p>
      </cx:txPr>
    </cx:title>
    <cx:plotArea>
      <cx:plotAreaRegion>
        <cx:series layoutId="funnel" uniqueId="{3462C983-5F9D-4646-B8B5-8050847EC733}">
          <cx:tx>
            <cx:txData>
              <cx:f>_xlchart.v2.4</cx:f>
              <cx:v>Marks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Waterfall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Waterfall Chart</a:t>
          </a:r>
        </a:p>
      </cx:txPr>
    </cx:title>
    <cx:plotArea>
      <cx:plotAreaRegion>
        <cx:series layoutId="waterfall" uniqueId="{47EF6813-E7B0-449D-817D-789E3A6ECC48}">
          <cx:tx>
            <cx:txData>
              <cx:f>_xlchart.v1.10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_xlchart.v5.15</cx:f>
        <cx:nf>_xlchart.v5.14</cx:nf>
      </cx:strDim>
      <cx:strDim type="cat">
        <cx:f>_xlchart.v5.13</cx:f>
        <cx:nf>_xlchart.v5.12</cx:nf>
      </cx:strDim>
    </cx:data>
  </cx:chartData>
  <cx:chart>
    <cx:title pos="t" align="ctr" overlay="0">
      <cx:tx>
        <cx:txData>
          <cx:v>Maps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Maps</a:t>
          </a:r>
        </a:p>
      </cx:txPr>
    </cx:title>
    <cx:plotArea>
      <cx:plotAreaRegion>
        <cx:series layoutId="regionMap" uniqueId="{F2668A44-DFC4-44B3-AA96-CE285F358493}">
          <cx:tx>
            <cx:txData>
              <cx:f>_xlchart.v5.14</cx:f>
              <cx:v>Population(2011)[27][28]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7HxZbxw50u1fMfz8pZrJLcnB9ADDzFq1y7Ls9ktCluRk7gvJ3H79jdLisarVbQ+ghxFwCw20pSxW
kTyMiBMngvrnzfiPm+Luuns3lkVl/nEz/v5eW9v847ffzI2+K6/NQZnedLWpv9mDm7r8rf72Lb25
++22ux7SKvkNI5/+dqOvO3s3vv/XP+HTkrv6qL65tmldnbu7brq4M66w5m+evfjo3fVtmVZRamyX
3lj/9/db+JJcX1e379/dVTa10+XU3P3+/tnb3r/7bf/D/vTF7wqYm3W3MBaTA864j6Ug8v4l3r8r
6ip5fCzYAePUJ5iLh8f06atPrksY/kszup/P9e1td2cMrOn+/8+GPlsAPFm/f3dTu8rudi6BTfz9
/aa6Ta/fv0tNHT48COvd7Dcn98v97fme/+ufe7+ADdj7zQ+w7O/Wzx79CZUPaZ6n5dO+vAIkwQEL
ECIIo4c9l88hEQc0CLCkEqP7F3/66gdIfj6dl/F4GrcHxofDNwXGv425fk0s+AFhlAjpP57/51hI
fCBwwCSSj9ZDnmPx09m8DMXjsD0k/v3hTSGhUvBWT9vxClbBDnggBfMZeTj2/nOrgMdIcg5W8fSd
D+bw02m8DMHjsD0I1MWbgmBVg898rUjhswPCCSYSv2gKAT1ADHPJMX7wWuzpqx9w+MlcXkbhftAe
Bqt/vy0MXHbdXdunzXgFQ8AHXGLuB/TR/z83hMA/YDJA3PfZAw574WH18/n8BRZPA/fx2L4pPC7v
iusqua5e0zKCA4EQZxAknvmkQB4gJAWVjD5AAY8frPHBJH5pKi+D8cPQPTguV28KjlDra2tTk1x3
+ml3XsFG/APM+W7nX7QRgQ8Q9SFwo71g8auzeRmU56P3cAkv3xQuZ67Krr++HiIEHQiKwSfh4LmN
sAPqc4EkCh5sZI9B/XweL2PxNG4PhTP1plBYX3fTq7oqLA98KXxJITr/kOYFQHMpwhRRcGS7117Q
+IV5vAzD94F7OKzfFpE6vkv0dXE9vWLQwJBZQ2rhk+AxddjLLMCDBQEXEMkf7AIe/xg7fmlGL2Py
w9A9VI6P3pZ1pOU16C7Fu7Pu+vbOvGL8IP6BxIRBCHkxfgTBASYc+wQc14vm8l9M7GWM1n/6hD2o
1mdvCqrj6yptXPd0hl8hwtODgFAOGcmLIokkBwKyxYD5j2Fl33x+Pp+Xgfm+kD08jkGJekOa1eF1
V13b6/wVHZoPiPiIYvoXeQk/8CGBh/T9Zankl2b0MiY/DN1D5fDfbwuVuw6izOsZiY8OKAUrCAKQ
bZ+He4oEBmGXP/gv/PSdD4nJ4U/n8RdAPI7bR+FthZXj61s9Xb9+UAGpnRHhB4w9Rg3/OSjiAAsh
OSH+i0z416f1Mjj74/dAOv7fDigv+9Yfta1n7/hvqyAYZF5MpU/+lMFDhAmQYA92ggCyH1nYY1ni
r6fxMhSPw57N+H+7xnF8DWLutdG2e033JA8oJOiCgIB+/9ozCIgYSEgCuDy89hTFX5zTyxA8G7xv
Cus3FTWO07nuXrXoQQ4IAuqE9qxhV+0gHGGJHhHZy9V/YSJ/AcbTCvaB+PKmgDi5TiB8v2p1lh+A
kisgC3mMCXtJIj2gHCJK8BhQEGgrP7qnX5nQy4j8Z+QeJCdvK5af3qZGv6LLwuiA+QRRCj7r4fUs
hgsABAsoGIKedf/ac1k/n87LcDyN2wPj9G2pKBfX2bWx0L/wdEpfIQ3kB0xQQsVTJg5M9keiC2kg
A9vhT90Ne3j80oxehuSHoXuoXLyxgsh1mRbvTq5v3evB4vsHyOc+QmKPT0HvAgqgsYHtearLX5rE
y0j8OHYPisu3lZVfdjuR5DXdFTkIKEOgZe0FDh9+jwPQrx71rT27+IWJ/AUWTyvYB+JteaqP1kI7
2KvLipg/yIo+WMb96znhFRBcOIdE5Mlb7fGrX57Vy9jsDd9D6OP/dv73bLbQCne/mOtXboaDIhW0
uiEoHT6K7nveSx6A5yLQK/dyQvKLc/obdJ4W9Gy1sNi31YP16c7Yd+oOquzF64UUUE+AWPkMBc8L
iCI4kAH0ndCnMsqeK/vFybwMyrPBe6B8Um8qObms7c/h+Lsuyb9+9r2/NAJJeXHfmPpDE+XfP73f
d+iX3Rv6mMa8SBAfMpzN7e/vfeQj6ISEA/G953X3Oc9yoL1Q9nzYHfDR399DXkugwxW8MjheYJMB
HKEBzjA88Q/gxEkMWdau4wYysffvqrqzGhpn6QEDb80khyECGqPgkand/SMMbh6SZAFyH8gbwIK+
twWf1cWU1NX3PXn8+V3lyrM6raz5/T3lEBWah/ftZgvJHZQ54HgjyjlmXO5EqObm+gJ6j+Ht/v81
Ve55E/XdmsZ0Cl1usfIGsS77slC+HD8LLhPVj7oImcmn1VxDozLGnzIhPpdBgS7iVrQL1g63dkoD
ldvSLezIXeR5vqdG21Yf8gaZw6BPMlWLqYrm3jdqbrNz3nh5NOBeryvjCZUkzUnQ5FiZdNKLqWaf
a9m0S+6mi5qiu7IpzvypyqMiYSasZEbVnHu3NCEnpOiwYrXXftF1myjG+3Ftp4kr2MMYvjXpv6Sm
WHtzfdQVWa+VHcpAlTw5S7xYRilm3gK1U6J8klVHjQjIoc3ovG28hh/pKg5G1QS0HBQqpqtYJpco
za8H3X3OkS0K1dtpPvaAKi2ycYwjW7su1G5yKsPUXZRTtsq7nB413B83OGduOcdTHSWt9HLV+qmV
KnDTOKiM+e6b7+SJmRK+8DsSnFNOUSgbvdCtyVeTYWVYeW11HGS1DL3RxF9Jm3hrTrtgqw1uoo63
OKwHGWzyzm+2qEj4V8unL90odUjKuQ2boTchlgX8qyLNV8eldxzzHm3k0HCV2iGL5oLR4znv3JKV
9V3m22HlyTY47VAml0NCMuUyHysf1SLMoTywyHXl1CDbbtuWI74QZr5tmjgN63xsT4fC5Z9JPX2m
otHhkE+pMjJDqjToiLa5WzQ11dE8eXmY98W3tBL5OqjlF2mLPOI9vH22xaSXgx/YRV+ibR1wOAAi
L9ao6fRhGhSXKeeXgTXZViCrVZmM6aWJOxPlAc4Xps2T46xNiovBahH6ZZ+Hcy7JYki1CW1DPwYk
ixdB4rFjl7Wf4LzKuxFVdoG8qjyZcd1FpdXlom/MZezFl3oaF7weS4Vmc5XNNI961MuVqQhVo0f/
KKoRrTNrLnzWjIvcBo3iGTHL0tX2CiV9BUdUXPSTvJzH7KwiHpxZsPew15Qr05dEKtkjuRpHk8TH
GcFttypnSzdVnKZOJVPXnFE+NgufeV6ku7w4lQYXi5omw6ZM/WbJ4QyeJtb02zih6TrJ9aQKrcGd
SbOabXPsUBbrUBQdOWRVnV2YjIoVbvCkPGau/MSMH0pZJtsBUuO1b5MqtJR/9FGGV3nal1dFlqch
QNUvBjb1VuWZHZV0XvxHVzf9Is5xe5Rak2znaeCtivuAEuWzDkcu7u7qpqsi8GRa8XGWJ7yk43ky
BjJqRpovxsGR0Bq+5YEgp6iLTSRiNisuh/R88Autpka4U5TNpVMen2/sJNepnVvFh6BeC5TZXDWz
fx7ndoyclyZq0mO9tEg2ITJxEPY80VFuB9GHvBHpGmtWFYuyKCs1eYhHcvDcp8lI/tElLli3Yoo/
FSiIQw8F2ZL1KFulNNCbLGinwzZg6UeZNu1RUrecKM1mfFHMvnciy25elbLIPvEKf0K6s8uaTyox
SbVuzHjW2B7f9Y3fX6QDHyIvNWZWpOeBSsd63grtqUCa5mvK3HDXE1OeBg0ZtnLiw9paUYQ0bljo
BUW+9Ofkk6BFc+J14jD2ShwFXNkEyVBWJQrLidSh8NrDsY8xWG5Ksqgc8zhqeh0c0qLMzoY5bo5i
32anGkk/rJE7cjztVyW17acKOadwXXYntp1cqKcORS718aI0E2xnNmcfewnTKIZpvoj1fD6yqoyw
qPyonoZ002TuHOKQt3F13C4ZYsnXri7ntV94l8nYosVMqlHVuLKndS5YJMScRqQSLqpwejQKnV+0
Ca3PWYYyVabUqc4PvJDBVQZFRhFH0+xPAZxd6W885rnIei2L4lSUK9Tl3dHo2Vp5ZRuouCxQ1AcE
vHDK7nxfV5HkhR+CKH1edvwmxWIK42wgikpTqRE1ZJH32RASZ+ZF72JwL3FOo7qKrxCtISru5oAL
RhZJOsiwthJ/Ej1YcwENzYsknuVxnmuchbhn1KicJMNXL3FlprJq6C5xI74xkx2XgwPv66/FoP2F
wOK0h3sDauxz4kWZ0MMFHrRb9iL3FPOyi2D0m2No78muGin4osVsWMhZX5UVXzFvKCJoZu+qkHvy
j3nm87KVzW09woHiprjs2zwIs3EaoqpAJ3M/H5eynUKIdtlHuC6EN87zZNjtkBb5FC9Jn2AlSnA9
Vla3FZ6/uqD+0gc4hk2diV4UONCLwNSZYnmVbsc4OUt12x0LlAwqIfg89TkJp7gXYV31OBLOUNXN
VaVoFpC16fPuMiGJjWaTtCtubbkmY32NPPBCvMyjGMcLbtnXqcLrgbLb0lUsjK1fhSlhtz/e4nlG
kW7qZurSRD9envr+478u6xL+u7/W859f7u5e/een46dLW3/7rtVdvSt6m/037eju98/6zwWiHb/8
fptoj7Q+XPP6C0b7tw9/ke7C7QYo5P81131et7+nug9DHngutC2R+4ssQHSF4IEPotADz4XmfSGI
AKbpM0weGPAjz/XxAdQ/oY2GBkQEXDIQJR55LhSsQVyCygS00vq7JIz/NzwXc/Sc51Jo1eFwvwPk
QaC6BDjvc54rXeYNee7nCxLbBY/relCu5kUaapjQUZUVXRgjhw85mes1KondgLvLi1CUsjnWuWc/
0YEirSqhs8+86QYWIlTVmyL2ea2kyEWgWm2rZcJ6cYq05WLTcz6kRx1r6xs6M3doqkB2W4c4MERX
p65fJjQ2aUhnzfOF9SSqgP022RhlFMKQLovktmoYKyPwKJxEgmTdoGxBdKumfhyrw8HLg49oyrJ8
Ufl6PGIzig9n03YOwgfin9p5wJ/iAItLo73htIbYr1U/G3AEFUq2vS+4U2mujVCicHKL/Xw+MdUA
3rjwUGpVTyvab3EXa7QYurjztnzS+AOqBseWeS7TImqnueUqT3yZqQFS7CqiuR7jUx0YNy+Ynl0V
1iXlhTLtUAynvC8DcwQNJBaIaEy7ImzqnAZKZ/7YKxckHQrTrGy+tcNYH2EI4GaB0qk7qqcMsXWt
DaEhKF1MKzpk04dhxiVRQDlSvbR2LGxYpTaT0SA9NAAnaPKb3KvnZjP5rqijyeTwBTTh4jNKTXaa
Qw6wBmToJRJZv57ieDqJ60me4aGvrEpl1o0LY1D9ERPigI1m5RiveNLl26YbURLSvhuvUJMH53mL
+A0aBUkXjjtWqtKNsDUiEXOphowXC8cM/tS61H0SCaP9ciioEaFAJXIhXMxrDzPwbR+oLlurMtG2
mWqs7w0bOloNcQmYbaQFfEPELOrLhXOEXGQlrdcsadNzA8G6Vr2f8Rsfad7BgcQQn3OJh5Os6PWh
TEgRJc7nd7TSJlHxzLokjHs5whZAqNrQ3sumqGUpjiMXDD68z+df2sARBwkTInk4zLIcQ6BsDV0O
CM9sPY3eHKvJpTGQAk7nPnK9C/5oq0R3ChFutkbMYx7RRtRMtaJJmQLm7r5xfx5pBB9RxWEKgVaG
ZZMPvcKidcvYpyJbIlLF52U/Jgo3Uz4s8xEWpgYtO19N1dSkKsG2O2oLnt+6lCZoI0oPhVXMXBfx
IqsrrgaqRa7AossPUqYiMoETeab6osQeZJu0gyAKLLQI3LioXDcEVkHfbHOIcCvhOPJ1MQVDtkYG
ZVcVHtCKVtO8CFI6HyXSFIeT7vGyHXHchmk+BMPxJCvrn/tdWl91A4lkb8jaZ/3gQklsk22pLKsP
ic4WtjBTv8pi38ybsoOT0uYZO0ZOpJ2yokIDfAHRVKHYS5uvQADnI9z7vQzzBs7J1sNxPl1B6tB6
YTtNPUoUmUaeL3uHiq5TXZ/JVJVA1b/GXqsvBlfxr3kxtE2EEtvqzTAV1Xya5oU/hcD8pFtK1nAU
DSIZvUlJaYnYcDm7+ZQkbpflel52ZScbQOZKLKSybqTTAGFfY+DJnp3AzavYaOGpJA/qJVDO9roe
m8PKiGyRojwap7pVCCwpbJijIfQzwWrV/7FGTsg1rl3k5dicGdzbld80+fL/B/e/vqv9g5ZF4cbv
3wX3P7cE/2nwY5jfXTsC3QSUMQz9/JT/J8xDz7mkgkL5gVAI6bsnj2GekAPMdqXtAFI2jHex/CnM
gypOdq3okgA7CO4fPXGcZ1wNVLwX5CxolN4L8yDZ+dJHIOZCXcrHdE/OwkExN4OwYlXFMdx+D8zU
gtzg1arxpvaGWtItMqTl1dAyseLeAD6axjYCA483GMSTWwS8dJ33Bkc1tqcOsuAVLW32pejyYFnP
vMGgauXtTWtRo6RpTQhJT3LixWa8EFJ7S7hinmhIsWx3K6t4Wo3aBBeNx9JhoVFDb+ICgqGqKNfL
3iuXk3THaUaLQwppV+QGbjftnGw4T6ma/Aot00aeIpe260Ym7jMH3eg297iDRFNP8arzYrckFfSe
hUVWjLdJSuMvjsVuO5sMR4yPdjWbWq/hGtm0mjCqVmZsXZTg4lhOqTglRTwsJpzVEFiRD8Ec8pCh
pWidQsJzNvBcL2Q2ah8cKJ9WcVFls5rjtPnYz3V9l7YpP7bII9tWuMvZIPkJz0ackaClvsKsT2FX
65gokdamUYXtumARazPNaiqzfiWmaQxtjfPPxk1oS8Rot1WOb7q47I/jPE2PUs3NMg2E+VA0jd6Q
yQShF8+I7TxM+lUHo/cJx4k4bFNDjxIBmlgz9k2iRsO8b/3E7XE5if5zneHyGACHdTLbq7itwoQh
ejKw2FRRIFgdTnVRLGIkvoEKUUEGpSHaF31fbtu8KVRXkJuhHMpEzYVwy5TgOIQDT2GjPAjZJc6W
xQxyohYOfe4TCN0tL9q1ZH0dNS73j4nWZt3gtI0GImHpCQ5Ullim+p71jUoGkh0yL74S3TxELPXL
S4oKYGCmMcrOmvwxTk2+dljUYU+D8jQtiiwIO0gOFe9tojo8lFEQm8UAsleEB94tSqbvMGxJrFLg
kSe+32cb1woFoKOjxqLyaKhnecsamnwcez8BFY+UV9OIC6CPMb8cqqpFahxleyR6z4VDg/C5aQmq
Qk96NOI17UpFO9fcGmpOJe280HdJs3RNhk9mMpXLbODjiR4LB2IPhlObIll8LAKJ22jkdl56JeyZ
zHwUeV3lvsxM14eeEM2FK5vgcE4bsZwG1EGan922kEBz33SrZgqCq7wZa5WXrFedlxyybsqigeV6
NcZp9dEXkzzRsDobMq+fFygefA18KEtObI2SMzL7NLKaEFCT/BkkbkjG0coQoB8sRiCET5kfBiWr
bsScG5BRmNeuPdbRZTd6YjF2+dns6hvjj1uRxxkoQ0OEkfWWXT0clz1p1qIFaiURv9StFyV+hTdN
lfE8xJp70Q+++gW3R/ZEfGh7wBj6hhDxGWRMVIDr/VHEj4MsGGoD7iDtEgwEn9UzUk1TVRqOY9Uc
jUWNw6HEC2Kqz8UICcSibrvuhM4gBakkrtyhnfvhW1xqkFx0VRzKniRlmGIvP6oTUn2u26JbmmBI
yYIDJSkX1nYoViB95xfy3p7ze9smO3a+qcAu+Mbs/ALog24Kh57QauGol0NX3vcc9IWlB3SXuP1Q
wNj9/RC4cQYlOhZAdQPtFzAmz1Ik8gStfJZ8kEWpgjInHzwxfkEU1CK/zh2INEl7FHSQW4QeYLwU
/Qh5UNs1FYhGCev8BZt1XahpjsdVBmJK1AFfvsuJSy51OU6boB3WdCw2LZnbMcSu+yIMqHm6a1es
MltcYJDC8/Smbcc6hLNVno1OdBsfyTYqpsJtpW/0FrdlSUOT90Bzupxsqr4jPERQRljAPuIwHvIs
6nmfrpgcyzMg4PJLLfLqC3A7yBV4UX3FJXEnLJnakyLp9FIPfrmq7RB8rr0u3vCSxGdTmfYX8GOw
7GaXfs58ordjP8wR8DmxmEvOVoNr5lXNB3KExTBtEi2sBzzZxsvE4uTDVHhZr4Y5MSFMG7SvLNfL
HDqcV5D28mUOQXZRkNxZiEEuXXSgtV9ZzPwoIbK5yggkX21R0W/wRxWSKLV5fuiGzKixYdlhw6Am
ETqD2ZVnGT6Vs/A+EDPgdQKlFYgtAtV3bVaPV9yr+RUL6upMx213JnLWb9Fc+mviU30Ut6hb454C
cRaR7bWIAqitha0wo4WCij+e42EYzsehzE/6oXKt0oWfrjTtK0DEQYo9td0HhwsZQhZTr3Tt46+0
IfFlHVOorsTFR21BBwztzIZZWTOXX0rUDMczwfZohjLeCmkzHlaJ4EelyMlSgJpwFLDJAPMG5XrZ
+dkUq6QUOkRd3xwFzRCfGm9oznkwBO1q9JNpzUpeRNDzVy26bnAL2c/5mRt0fQzKuI20qXooZ5Bm
O8L1l3O98yJFGwNdCTYeL8Kurk4nrD8U0inIrcuVl0zHo+HeKhPBEGYQJsIJXJXZ+ayEg/eKd36M
JL4+L2fP+yZ2Hq7f+bqiA/FygEIa7SHtr0zBVvO9Y3T3ThI8BY3cznN2Ox8qOg1+pkjxDI5AIxuC
bCpPpp3nHXc+uMN03FZDDT63we30uQLtb4mHCTy6X7cXfdDWhzPy3Rc2QL5RF0EQ5V6Hl+V9YMh2
MSLYRQu/8KGgk+9iSJvkqbcO8Fylob0PQaDn60RJb7JDlPttcDmhmp2apqBxBAK6vE07TawStZ+z
lUGi23p90yzNLk66Lpuj7D6CVk0ivg5NxiBUwJkmEKfS5rApyh58qC3bdR3nwyrWIkuhvrYL6TNU
EaAM4xkdVSztlz4oy52aDUAU3LOGaUcgPGAS845SiHtykfMhCysXsEjveAcC+hhL3UIqDaqRigsh
FrHnxsOy8JuokN64iUFEV7Yqy1UD1CfqRZltMuewVU5oGkEiSMNqrB1UXoo8P2bYZBtia3ucJSX+
pGtOT6xh4qKa/LhUndFmiXUn79q5wWdjMbCbvnD9WWqm9KPnMvshJuloogS5YGMT7UUe6D1jVCKa
nnJfDkKlqSYn3CNu3XltfgycDspzA8UgNUCEYmfl1OhtEzfliXU95J7NEHRfx67/jHjTRFJ4kw5z
gtiyjIW/EmOvL4MEFp5B1rDpvAbkYp3x/jKRwkyqMaCqk5x6Z2yuySbgI/1QZjU/G+FPuYRpAKHL
L9P6sqldkqoadcWGeGlmozLVoC3rXmQQeBsXFnLMzDFvqmTB+0GugViiryPktTekrhrY4znfFYnA
0JbDMDOkOE+CViU+bOMUpGyVZ7DjYTHydBvwJj8cOuFtZdsP6xJqvtss8Dho2WkHFayWJ+dp4qE/
/FGczYkdL6E8XYZj7RWrFAp4Wz37ZoRNE/xcTzj/khEeRzOC3iBFutJ+Bf0w+dI4C6JXQIuFrPN4
BW/5itIuXsCM2MKCyn+IGwmH3wss1P1alJ57bdGqihS1UTUDFqiGidOzFJYR51kVMp6FooYKb53N
dwh73qhsndYKfCJUGBqUQbKeWqjkQwvT59rkdNtPxh0zkoKC7wcOiqWgmdRZMG8CrHNYQAV1f5B9
x0UHOYAqJN9Ck8G3cpBfp7EmKwhgBSRIcV1tgo4JsPYBSHkFddgLXZJpBZ4HiHWco6tsTCOe1+WV
Txv8mbbQi9C7ovk0MJZ9ig3q7nKw90h6mVn3dv5SSXRFeAF6YpYxvmG0PsZ8OM1kQID0jy5048gX
uYBYAWYF8u4C9aMkoZM1R4ddQ5uN4BbibpyzrSQFWYMqmkHBnU1/pB6cUzRTfDhCDTBqNI9vcJfS
FciFUAQK6h2tn6sRiPLo5nDU9NY5Ha8kbb0l9yd8lHZlethMOJkOXeXVF9zr8aWG/GUM03q0d33e
AF0kuRFHVVuBt+mhoP6hagYOXRGDgUWVebkMMtqsupowoMaN7MESGU8jUI85fGqfXhdpT1UcNN0W
p1UJ9mNg7X0RbwYnssPKH2woYKGTSjOvWFBIR05zbqDTogvmxSALs2rieYTEiRDVevm0GaXEq5TB
94+oCD6XwATTRTxPEmpD1bRkDamXxHfBF92m/gr3aaZi4eWgCkJPyqC6CXFIQ3VmVVObTVaYP2Ts
jucAfdvpF4vej/1r23vBqWxjCI//j7kva7MTV7L9RfQHkkDwyh7IyXamnZ7qha/sKjMJIQQCxK+/
a/tWn5Op43R266lfa9BWBopQKGLFWupx6jhDVQ/Nmfek0rYv1qbZ/2rpDjeo00/9LJFUG9ztO0EX
cV30WqThOKGVS7ciNEl7bDYRfprRPozz0iIUj3rRCEnLfKwYUQ+Klz054CrB+RYynR9RntgfE2WU
OnRhag4YprsLu1ot+YC/+V7Igbxp8WTPg7JK3lBWkQezNnNyZLNOZZHxLPgQ46q+p5Fcf7DuWznt
R7mqLclJhQr+uyCx7Eo3HdKiQL7p0zZn4Zgc9SRKnkvRFkljRkQRgjfGNgXHPv7LJr1oz9kg5zUP
UI07ALoRoStb3gGIsb9FQng7k+VtHJovaffHsL+3dXUgbI7yUZL2RxtXb7uul+dUq/CBx+X4FecL
l1di53frzqtbUUv1JVyWtcobgSrEIcA9W2Tw6K97PK0fkz6jX8uwiz8nbTIe5nBi11MQtje4Ceq7
RJTBAQ2PKDel6E8ymJBUtNX1rNsmzzgAP2Yz9UPTquS9DUv7R1yrPQ/Sqr/WOysPe5ugxie7WFyl
qUYPX818+2IQ8oA+GSKKNjOpryoW99eiseOJRe1+2INs+0BMqdDJHPbCCs7OGx/aKzbEeMjWyGSt
KO1paaINNcc47HI2pAk6ijQs72Mh1TUbzXauhAE0hUT1R90g81vIHB90ZsarlOnsqhKi5vnQ2ChH
4dqcsQdyHKseTV41t1/GxcZVPm9VhW5C/76SCKL5NAT7eblcuGlSj0UUdR9FYNVNxyZTdKVCQtbV
+9nwFm9+YHceMy2n027UcNMiZiz5ZIU6xc3AyWEWwZoc+qmDB3YyRMDe9Qo8goFnYSvDYc56/B/L
3M/onEr6ycpmOgRs599VJelV3SFClLSfjhMAPnCVpr+ShGDPUuo8QoW7zNsB0Wxdx/VQdfHRmq68
JVFZvpGRzGVWf4tRmGm78Loa8H/U5a1Gazsn3UZPZqi/zH3KDjVfw5OId3uDCp8E2CR7j3f5BUC0
wrbAEORJUPZokJH50K8LR6cq2E/NFtd4JjUcb3MAdW7rNOYwQRldr3qI/trN0iJhmOSPulw3tGjS
5jqlFlXsoIxUjg7dcCNl2/1FxNB9lQ16RCiNk/I9C5bsjUSifY+3ynzLgIy4Dm2CylKcTPRTG7Dl
MFeN+tontD8QJYbbNqhbvP9Ue6XWML0KaSMKdGzGO0nldDU160Ft8hBuLRc5hgX3887bqICH0Y8z
nmv3c9Ci6bdwfWp61D7qLATwqaL53Ha3A4lvtunKprCnkdnXaTSHdqzT90QCD9SuvP2UhIJdj50Q
d7yZUoMyZHxdru19RZPVAAT6u7cw+dVTOGYsJREHrhDsUM/LAGsrSVmCcLAIrJ1OMUMfSFdL0uRj
LIEmyDTev1Rs1WOVSNnlusvW4VjXKngQwGV9S/iu9EmwGPC7pt2jvLrUK1HToeiVZqGJDlG9syCX
Pyuc6GLGQ55uKBDaIUlvmnhgKp/wQgwOP/+ufzCf/zzy/z9q8WlT/GmP/H/Skv+/12x/NoP732jl
n53zCI3uf33aS6f/Gaz02eTvv/77f/CkHJxGEUd7EwwVePT9uwCfpKDfQf0nDTHyCmzopUr03wV4
/l+ANl/wpOhcUYyX4eT802dP/osnIQCgKSccI/u45v83ffbnJzAgEeMMPZsMINenBaip3Mqha7Lk
qo6OGd5gC8aY/vX3/6LM89K6l3/+BJ2akWYBYmXjpzmuAfzad2s/1wSvQb/l8VWeLo+8vbPrJvkJ
hRyt36/JHsI5tn348fv1n3cl/m0WDJA9XT/r9y5F1E1OGYmn/UFFPcJHTYH0zFGc6vHYpiOKLr//
sZds5bQ+Jnz7dq1kctommqLiHtJK54NN0tdKbtj0vwtu//5jLgiLJ9+CZ2OoWoDPTiZS7E0Uraz/
sIZtmNzZdJZbEfAd78DejgrzOh4f361qqjRUC7/84CIyvt0MtSnRJZ8MMtPf/8ClPPqLv+gCwH76
F6XNvoazoTEq5hNfgWygJTmobiL1HYoYLXkTmc50h3EaJdBliOTReA5lveir3//+C1/sJ2bliUWB
vsSTATcPujhqLao5YgJwqbT66/fLR8+xL//6Yimw7E//PsWRXsSTjU+mqpbxAFhZwWn0Q3V0XNHB
rdalz43lwd2wVkDGGDIMqURBNCU9JnV9PuHFMZ7+hZXtFxGvsHBK4gPVww8er42f+VIn6AwIBGtq
5/iE245/CQc7AGhq2nd+W3dCj0C5BzmFjk8dbZq/QzB438mgQTHZb3kn9AzBGquxjuOTmPnyKULL
Ld/KnfsFttQJPFqsrULhDbUCpKzofmzBAjyEGgbuuX0n2JCtQodFtAg2AzPtwSYozuTjCE89/t4+
L4TOxPHNPlvWuDUVL3oxjeV73vej+UTHPQtv5qDO+ANGIWhy/fsfe8ERUye0kdYGEv3JoJCD5cn9
hLnvGU/QOfjhtT53+jNTGppw3dBx3oeoP9mKBTrfmm7Sr3yNy4n/RSDjjrFQI2LCEPR/hgBQo/MK
7P9yQl86ao5jU7PM82eceELZUKarCngxz6hCXslkkIDuykhsJ4XJgc3Pr7kTNMZhGUu69WmhSLc/
dtrW79BQyh5//y1espUTNdZuS6MVKVRBgq05iUlzelcxwFI+d3Haba+Y6oUTdeFIehr46rRSQASq
tNCC2eug38N3WRXhHfP7P+Kl5enz5YeysSGMkxSGj2TLw3ZjX5N9UCe/5Z3wYRY+XCaHkmIR+AKz
qPoTMwHmGPyWd4KHaai0wrZpwQD9xTew6RbkU2ib3fMHHH/usiAesw3Wz1Cal9cqiuV60ihervde
f8ElCX/6eTmxdIqCLSmyqW4+obo33W9NNVq//SeOo3GrMbEVxrxQlM3N1bzTLcvrrl9DPxe7AHKe
7n9DsSWZieZFN1UKFZ+eLGneGqZfu5svkecXESlxvMxWbRX2Kz7xWFqlj20FFNB9H+xLclPNZY8p
j4pY9KL7lP6B5+QqX4nkL+U8Ls4Xr9uSD/uKUChSoW7qAAMfeDh0GbLGFEU1hubW3O7LAcAS1QNQ
uFf8mLCVDh+WcE6Mp4EdB7VlEnCA9cui56gjo4rOi5QL+sr5iC6e8ivzkuffL17mrRmBTyxouOvh
tEflMp/ict8FYEKU23fV1A8/VMDW/ortqYzfbphSlG8IT9MWpUQUc17ZyguR6Od84ZMML5VtrIYV
FXLUWyd6SPbsb7Vt6+gXR2PH0UykUXhvKxTg1ZZ+jXH9vAWsoPeLc/Hl9D7Z/Egr2QYBz4pY4CVz
MFHa77lptJ1eOQYvuMGFmeLpD0zNaGOy6bSY7VqSa1QeNTpPKoJLoIEaDrlsDBpQBLiy6rvq94l4
2s1xcLpKga+skyJJS4xJqZFMPTC6LPAMsbHj4Dvbu9EkQHOZMY5OiV2q454MryFbXjhVsXN9JiWg
8O247cVkKgDYJG/zRKv2lSDx0uqOcwJFUgcbcklAPRqUCeeoPWIkk3geKsc38SwZ0qhB5Zrg3ZiH
dfRZVuy1TO+lrTtXZ4QmJnAo1V5U3M5vjJUh7s+xjlrPc+PcnHVrZkW13QtUdbNrsgC3XdKUFV7X
JnO8maolVnOH1eeSsMNK+ZRPfdT47Z053pxiMikFsgB7n8mlz4zyeYIuk1+gY44rt2GgwxUtnwIz
u+I8ZbI6YKJrP//eMhe3+UVAZ46/ArBe7zuQ/sUaxH/jXdgtZzZ3ShbA9iSef4HjsnThC4rq5VpQ
OO77bB7Q9GRD5/de/onTehJLZ4lcZd2TtRgYurJpFhtAbKRnuGGOy0ZzL8p0b01RTYLdNqLnb9Qm
PLfueCxu0hKjQXQuxgFg/IMGkuLAa1S2j7//uC84rQtKjstq6oIddRglm+2mm6v5zpSl8HQqx2VR
Hw2WCPCNszbVOn2gaHOId7FGi8rv3Fzofp5eYl3ULGO1kA05G3renYq/2szKVw7+C7a5sAI+XTxu
g46labmcRgGQMZ0MyccMcCYvy1PHaalqGSlbjCkrGXzVBAmYzDCj77e447Od2nUQTMk/W2dkBAvB
gnkqv9Vdb43TEqCTaDllK4rG5LL65G+Yy+d44q1duKhSTFh9a8EMgIEYA9ALaT337nhrzeIUnd0Q
qzPy99gwca6ayrP0RImzdQBL0qbC4gDw9AWgxBpPo2Tzyw1+Qm2fGGabKS+F7ZZTPJdrvkULxqVV
OftdUdTx1b5WRA40NCe57BJzTM3f5tJo8zoxxPHTCaBENdRAEfYdhoYSFn8NMMfgubjjp2EZa2rr
YD7xMZTHaWv+xHTf5Lm446bjBIAWMmFzapMMOPG2EbnRgMf72cXxU7A7BFUTZNh6ZqI3E9oj9yWv
hF+Lijh+uhlGJKZPDeCSGuCrHe3p+BjMQTr5nZmfXd8nJ5KMG5AAqloKy3q09gOq4kKtZP7uZx3H
V6OmJBpkFrhZy0ncZO0UHaeutSe/1clzZzW6VLSysSnmjP4RteigM/rgt7STCm+TbXsL+HfR1MFb
hMevFtM/nkfG8dOsaXoeST6jiQ9ksanjR8DwBr8PepmUfhp7ZTcFOkuNKYJmbjC2w+84wZiFl1Uu
qlFPF0dbeFXTlgYniWkgoFs+k7gHA5hHMydyvDRtVlCktIEtsOw05zuZ6iS3E638Qm/k+OlSxQao
Fj0XYEgLv7AZcQDj0Hvkl2lEjqOaUZBQlIMp+kHvx2Hj3+pGlZ5md+7TMm1GvjTaFLHV9tD3mEyd
utc6ry/kSBfwwNNvmsmENSro5wII9+xNOlXRGxGU6rPfZ3VclMyYoJ11g+NYg92C9usXDjyO39qO
j+5A0oNopjOFjhegddPtqxjTe7+1HR/FOP6GcRSsDWDoIzP2Dfg13ngtHToeOqxlWc0gpMDYUBAc
gra8a/bQsz4AAq9nXzPCXCvfAxKcMB7xrrf8a6qt8AstF87mpyclqJGna0y8FMD9PQzVcAaO0y+S
X1Scni7N1GrphqL3adiXK72SWxb73aCh45jKxnMygCKmSPrqLh22QurSrw8aOm7ZiHmrjcGmVf9x
X4DO4p/8TojjkgKsAAojO8GJ1d03sGs9pHviF6cuMnJPDW3GpQM3SzKD76uNHnc7k6I1dDr6bdzx
SMzTb7JtsrkA55rMieyusjL74re245GdaKYYMi4BII7IbsGk9CfLqN/FBj6e52bBwR5HkDDNRd0k
Wx5PLMBAE1+8HAe6Js9XT6eFzyxegtOYfNDDEVxKXhcDu/AJPv2adVWPbKztXJgUaIuVAqsYjcmj
j8FZ5vjkiga5tRIjn1GtrlaB5vtIMf/gt7jjltqYsAsEFk9FfE+N+t4wqz2t4vglBvpsOKbZdNI9
vY+xNtCxvms7rhmtDad0i1A2JjS8M2nV3oxsSzyt4nhnPbFFIJ/FQYn3JN/D9qNIaq8EC/N0z8/K
lhm2dhk8f6N2bg8hK5PhSJABNV6hhWWOg6oVw+7AG81FxdSfwbp8RvPho9dpccFaC6WhTijsYkwV
H0fTNTkILLlXHoGC0HPL6HoBmj/DLHu1bfcYQ8NA4+jpoS5Kqu15CDI3OhUY4nuDwYrkBNEj4mfx
1PFQU2lgLg3YLEIlHlggDq2uvZIUEAQ6NokDaSsAwAtMXl2meyN9iFj7w+9zOg5q0VGY0n6egABI
voIO8Kbh8Qe/pR3/3PRcdinBFIKNxJqLgY9n2bd+0AVgoZ9bZYhXmS3A1xRoIWE8Yx/ecopZMr+t
Ow5qFJm6Olp1MQCfAj4jo4PbYAnte7/lHfdcA4qoyAy+6GL/mpDBbVP6zWtpF4E04+KpVTJMRZdU
7zelrsO+9zuHLvhoKdMuaQXTxb6M9QmTJuQYCPndb9/O9dlgimTSWzcVWY2xHWbf9ulraefFT/6z
5cJcmNGKeVOxKK6Lul9iMArypH0zJgqjbS3ByLrf/h0nBR/eJrsh1oVo6B+iZp8D1T36Le246AZI
okh4qeH/CybjJlAiRQvza9WBn+25H4FGIG40Jdg4iz73S4D5xkB98tu546P1NqpOY3q6iEnD1tNO
jQUjSirqzu+S5o6fsrqqUgN202LfggfMbTw2o99bnHHHR0UTj3gwY+nSZg9z2LwraeLVhvpJrfM0
VRSgGe0xd6QLism1IkjJ/BBVIJDzMroLqCR8CUHHgpNYhrvNLZgLKPNEdDEXsARGtGDGwJgu5KLC
PFz4eVwrv+owph6eH8VZM2NYBpMjPN4ultyKePPzIRemlK0YEsNIqi54Wcmc7/Y2041f3wzzXs/3
DQJjHW6k00U0LPc0Gu90OHvu2/FO3aA7kazBWExJ+rmJ9IPoRq9HHEsc5yw31neVanWRwDJ5BpR4
Pto+9YuHLlxopu0YgLx6RN8Gs++adA8myPxSUBdOH4Z4Z8k4HIuqoeBXBfnLcjJhkPgZxoUitW0G
2BhYIwqa2f6QmiR5L5pw9/uiLhRpwShzCTDcWOyZJqDdYGCtAB2Gl++7MCQQFIF6bxtwXIaMYV5S
prab6jzNls6rhoMO//OzDvwsuD42CdtX9coPEsWzArNoo18fgblwI9sZ8Kn0mAlNg6kbD8uq+h8m
46vno9EFHGGuPmQgjMTQdW2nY18lbQ4LxWc/+zvuyvm2peESqsKIhBzCBMBv0Pt6xsfY8dhZYIpk
olIVE+PVnEc76f7s7CYrz9Pj3KZboxO9brDNULcDKOL7j5uI/O682L1OybD2ATewu0zVlZ3CCZyY
oCvzsruLN1roQq0SqwLHYrx/DoeyumI8VZ2fYVzAEUWcjInFZ8XU+DidwStJGeijBjCe++3fyX7R
jOtAULHA8mDIudY6/ViPwq82z1zIEe96AhCwVgVn84emmh7Wbv7gt28n661Ku1IhwOXMZfaHHNYo
r6F652kU51odUTJPA7CDFVS36R/Q1diuTNcvnkfGcVVw2W12p/FQwFOzHAzoIwbzA37yMwx5Hia1
DdCjF1g9XqzJY0g0dPI1FNPPFPQXDxoXZjQ2G+B1KRmKJemqMke3uEWw4c3WHao+q7qrXtn1g+kn
8KRMNEiKua7H+BEjbny8Z1k86Q8Z75OrDn3J4artwFGYcwHakbcgWUjDNd9ZO+qP60hABRfaUXZ/
DnUdgMIGiSU5RjFq7SeuQAlwFBGqZIcEXeoNhHNB2haEgyzjuhzaFVyjIaoJXwIge+0ZmhsTP1LQ
+IFeToDG/wyGw3rCtB3ZzbknZNuPF00E+ccGbrDyHjoEQfttiuJxLNKdgEhPb/h7jwo8TaB2XOL0
IMER2R0SyytzVUVDld0lqcTgVjju5ANJszVfwFhzrZoJ/PzhkKX2vPZiYcdFsyo+LXxlKGGLemGH
Sqh+QD6bZfaQ6oZCNmRodHS7yrLNrgWNZlbssPZ6iGm3XO970L/VcgnZkYF0Yc/bUpf7BxG1A/fL
Qlz0ywhuY+Dbs6HIUGzLY9Le1XvlN7XCXPALKGYi0MmqobCDKvvjEK5tAXr+xjP7Y0607zdmks7Q
oUhA84eSVQDmDKhdePmWC1OjrLTIgoUq6qT/u2Tdh5I3nkZPn7vtgjbSJgj2HZuymDJxU8aRX2XT
RajFoICzEcpfBcmyLS+DrAObUzR42sRJyzSYCpIOHceiIm2bb934I2m1X8ZKnSDfYjZ3kTwcCmjd
qLcY/2quBpAs+8Vh6kT5OmlCI0kyFSDaZncMyTfmCsz81e+sOFFe99WyLGoZii6tzCedjjs6ESCJ
8TS7c84j2UR7QPFRk6qPtxOYLsye8yDuxqPX/l2oF1jJ1jKo56FAo+rHqthNHEx+IxeQnH1+2JVZ
9TJaDkq8MAOObJ74Jg40a8kPv707Sc0SjztdDFGFGEH+l4NTiaLHDgYwPywG2Mee/wGrkiIKtwoJ
QhixHCyKoJ5uGs8EwcV7Kb6W7V7hCkePRh+AKAOXTQBWcD/jOMd+DTHLHDdywCSqEDcJXeI5T0YN
9i6/9Z2DP7WyApBpQCQDFd1NLWn4B9601q8UTJz0hm/9uPcT8lWUssBfx0pT8HDmnofeeYcQCoWC
5hLg26avDtMKrS8z972fzxLXZ3W0mQ3vZJCnSPp3DbT533tvwL7jZXgX9AVlDNnWbQdSo4QvwXWX
yQgMZOsav9I7fGHwjbnAL8yDlmUiQFS1i4jqRwWdpuFQcglVsBXERY+YCHsbBFAjOiKL67JDleEx
eq6DOB78vr6LD8MgbRKaFvnnakGCcwj6FgQUPQiohN8z2gWIJSHd8Wa5RCaIv5S3fVOBO8GOdg49
P5Jzpe2h0RhJJbKgNGq6fFvblYEhiS2eOUrkuHcCFlENliZZWEMAW97NZ6D3v/udMMe1xdzbOTO7
LKCuNR22iv7Y59h3445nVyNYC0HZ1hfIbc+CdDeETH4lgJ8zjk/wrX0QQCYIDCLFzCBN1wUMrYZ1
f+9nFMer51roKoKQR1GCS+5kahBk9XHjeVW6OLGVN4OU+KLgXd6Cbz3oYr/rANeN195doBg02eQA
/Y2+QLryli/7rRirV7hcLuftF09FFydWbegzJmCPBRk8qW8ioaG/2Ayr3yXmQsXWLmlSKFf1Be3S
oYKQSTre1NzI2s9NXcAYy0AwCf2avuAxWALHLL3qWGT97gEXMgZO6ApMxA0I/1i93k0ajM18bpeH
33/TSyT5leEdJ83As7WsEe53sbMRWXM4VdlJhNEwnMDpP0ivHIu6fEyg5yhLNWtR7Jp/w0P9Tc/r
z7//C359dOiFSuppl4otoOyLMY6FCcEB6prjZJa/Vzr6cQPQzDFQg1xZ1qUURabSEtWdKb0GY7Xx
cikKsqtnmx9Ia7ZdY/Ml+G1PcURUDs4Hv3AAOaznq2fJzm0MpZMC/JuRPcoGzd9DCya7xeuxCA6A
5z+QLmsJEvlaFFGd2GNaheH9gOEpr1iJAvTz1W3S4EW+/mSrrzZQFkIg9y0hChx7PieHucDG1CYl
VKyqAfSd0MHJcYraS7wPs+Ho9wOO/XsoRY2gHUbAjMkHM4fvq6j0OjgsdCwPSpI5DTX2jpJvfATJ
a5vvBrR/PhuH2PRzy0tEyABilfUp4rp8v9hAfZDQpPRKm0D19nx10cjIhGQSl8QgfVA9jYu5iVMv
o1MX4KhQ8grL/uKwNUplw5g+BAx0zH6GcZ5yxs4S8gGgbOwS8IodMBE7ft1FNiyvrP+zWPGf8Rgq
dc9tA2lksiWJQTQDnWH/bowiaa4aMPTrMx5ihpzBpZdMxzEW0CILLF4Fd4q3Y/+VRJSdTULAh8wC
G+fZXkK2NIGMbfeul/FGDv042uawV3W5fxtK25izVLhzDyZut++0Z+x2Ue18Y5t6OdPSrFgCJBV1
HkLgcn+sI8y3PEB+MQkeZZOq6YgHG9vxb/V6qEMgP9+2qg52kF2zqXkDNZJh+e5ldBcQB1zjSC4D
yVCvjNq3S9Zld6QBofErNn/hAnEhcUPQgSkyXLqCbOHfCRkfsqi699v55dZ9kkrirWn7IFm7gu7A
2QrCrskwvcZ0cTlzvzoqzsVnTNBX+7R1xahApnGtp12sxwzMw/q44oUAzR4oidZf/f4S5xqMxixO
2BJ3RaCC5MS6VZx3JaqPfquT53aCcJDBG5F2xXLRXoaczucZqhevfN+LsX9lJycKgx21MRCP7opE
mOYDUNXsXVpX259bGwWvFAdf+gknGodlxiuiRmg7b7SDUOI8goQ8XzSK7dfNiom2Vx7VL3xyFzUH
eEJllkRU0HaFisXZxFsEdBgYtZt+T8kBiG6/qhJ1QXQVdIz6UgsYTZIAQLfkMwKRZ07FnYpbAMIR
FAJkV0Rox83QP5lp9P73J+mFL+GC6DgFlnPHDO6xq0Y+X4NZPD4PKeRkT0m1iNALXUD55def+DXE
DXnSNDwATQeY/jDrXn2BILnfaCt1ubomm40N9CXbgvN4PgNzDQ27OvJ7rFAXSLc0KEVSE9VFw1J2
VouFmmfWeL3joMr23DCQVYiE4KKEGERzE4LOmQ2Jp80dN7Y0FNMwY+l9Z6cyG899Q7zeh9TF0Fkw
lTVTBvnpriG3PA5ux8SvikddYi7ACi9EuA2Urdt1vGmnaS6CmH74/WF/4eZyIXRlzOvF0gCHHQrp
J6U0JNoywfzSNBdDF2adLuMwaAowRatboF4/jxXUl/22folwTzyoSiBvvxDTFMIScTbZLK/CUfhB
UakLowvshr5hr5uiadsRqgnpXcD1dPLbunPvbm04mokO2XHuWbOdCVk/Kt11fkVFmjg3bT1k8yiY
zI5yGd92YihaPfhd4i6UDqrzW9VXSKTEDCk50GaHh13Er0Telw6j459Qg5l3TPjBiaZlyIEaO6gE
jMJ+Nncu2B0kPdMyqwZTS709yEpBtbPUMvMDpIGQ+vlxzHqLmYsuzjBoNewQFxelvh22rvGbg6Qu
ms4kspR8pNmxX3e0PR+AAnjFMj9Ltb9Ib1wsHUv2CORUVV1ENqDLbdj0MQaMKpBtPoIpaYCIRgYN
Cz4ufXxKUF1bD+MM6SpQWKrEnkcQqY+nXUUV+bPnMVmKEnLB3KsCT5lzTwoItu40jadTwzd9jssZ
pL9B59dXoy7DD10J3UUHYRq69jVQFvMjRiq3V+z6wnF2CX4MBDlLcFpNJ8ujPe/CTh945xmfGHl+
3CDrBNGicYEWQw+KhnW2P0Jd+80PQfv0+eLBrvqxFNScKiDmj9laQ++LYHzLyxNdyMQO6HPZLAim
XJFvU08/9DXxG6mkLmKi7vFiHxQzUObVkHlUpDyVJaAzXjt3IaFbMEYggZkv4od6rq4bCtGVUz11
kNv0+wHntMsG4ixpVPPjpusEt6VtoTRex0lEv/v9gHPz6Lkz+1Iqc5HDUCfIYaxHlTGvtgeNnXsH
74eYKtqbU3QhoVvjEbQBjHuB/akLCVV8YVM5Y/HFgOlbTGzMB0H8AKc0dk48qyG/0xhpTqSNFLSM
IogBSfHNz+jO1TN0aRqGkAA5LaTu8zQIME24sdAvD3IRoRWAzyEL6HwaAPPKh05XEP6m8yevvbuA
ULYqRaNknE9BhhYc6/bq1NjYzzAuAV2j12gAKmA+gdGU3Etor3xLwp375eQuGhS6q+sI0bbpJCWE
BcFzDnoiBt2i3xvm4pK/uDRdli8RdSPpBpqek1LEy31t+gbSxwmBqCjTCrfg73/mhUvEBVOVCy0h
IYSAFpM0OC4khnrPZvzAVPSn9vSTHFrVJZ/nBKtXlWyOKZBUh2ywf/lt3QlmXYsvADyjPqlN2UPT
j+1x6ku/WOOCqTLFwrmPY31aOrOc+zolEEvKdr9gQ51IZqEMnUC8SJ/mehfnaOo+7lEbe35S5+re
657tA2o9J5XW/NCLrT0AkuoH+0dX//ndLbnlM09LdQr6QB/aXcmcKuvH3IQJ6Oerl4wJiIAm6gRl
vfqwx704pKCW97v+XAyYiaBWa3SVnttW7o97qLZPbShf43p/wZVcFFhJ1zUyACufoI6LeZRLjFck
eq1G+NLq/LlloHCDcrXNsjMLUDpfgu+DkI9ejuSiv7oIElcQuOBn8HyVIl92APzmepu++C3v+Gkk
BgpxZZ1BEq+XwLC2WwKdtAgKc36+6tJ9KahEIXFS2TmborzNyI0IPS8/4jgqiLjG2UI48twzpMIX
PIT0AyRSF/kFAYWmrPmYnfcL9VG3RuzA6nR95fp46bg4btqGop53O7AjWLigYajuw8SPTRDqls9P
YhgDVEQhywwt87VoZXDHZPPgdVT+A/IFGqFaU8mOJDE9NMUUFOyv67U3H/3Wd3pXUkVjK8zAz2yI
NnCcs4ndXEb1XuMTvDjjLy5tF8/VBJ1i6Vom514F09VcLkv/duJhVZ0wp8rLa4jlrfWbeS//B4/r
n6+DX/2oU6jilpRyaUeBl8K2yu0QiUYQdeo6eJ041+XWQQtu6KEnA7XTEXf71lot+fUgVFL3Zzys
267Pxd4t9roubVD+SekK2J0MAWntctrafV2hQq/VeNclUareLBO04ZPrLWB8hCjaLqqgyUOaNbTK
9cwVHkVDgk+Xx9k4VH8qXfcmylnHm/6a7h3ono8WD3peHe24rPrQWdpuH0Ahty5NHnfQ4AHNt4We
osyjzAQJyzML7vbu/3H2ZU2W4miWf6Utn5saIdA21lVmA9zr9/ruHhEeywsW4e4JiEWABEL8+jk3
u3rJmM6qsbTMlwgPvwsg6fvOd5ZTPLYc3vQ9MEvXI4pw7hZ8QIvE608j7VE7aqHlr/3Y46/nZUrX
goPumyCLcVjbHJmOtLnaEWXNZ/TLSHb/bgDaiiXb5pjEPmOSV/UlPa9Vr321IIkHQs7dzMi7nRsd
vlxIeqdx78OWDTCNsrn3jY1bhEubvTzsGNnQQ0TLzeYI6520ylfuA+sLuiIi9yaWK1fHhi07Asjr
yYQTbPyHHPG4K7/TZGlkQZoE+dm1QK7ksMleFrKHAW62TRWfBvA3tamrwim0WCIHQrJVBp9sQkRp
JikX0I0gCL1MBcpG7CW8X65xt0zdIFIQlV2m4qhDjnM/0G+T63nhw76J16XZQ3IcZ8Pa+32mkr/U
ExXiPnGIOr3dkeK8VEW3Q6OSHpVfYjgi7Fws3R0UGhL3a2yaER+uIruqliOBqzGqsZ6YvT0Fnmz+
xyQROVzlZgUYjGRbLdXHeBMwI8yReI4ksUpGFxvIbukGH0HFsoO0BQcdsazLIeBeGnOmDEAaPfN2
kMi25q068rYecsMRVj6jgUWw9HqpLFd7QxbbHvyMPeqem2rRH7eNVoPE42DoctQJQ6ysqeqUwiW2
Dl0BjKOWX6VLBnOjth0gEMKml23O/Ihg6C5DcLKgqKCcS5IkVyxJ9FPcypkfYbDSIs2c+hioNnHw
VtsxZnZrBe0WCZY7MDk5TNZIt/ygXQTNzLyKdPwgWB/Loi4t0z+Ag8gOi6ZPzVpYzYy9bxdS8Y+g
Z039USNLmRbKIKX7emcRbW/j2rf7WzN0ZoFiZo5Mej9h0daHYUQ28nnsYz19rqNeEortra04y0Sf
qvGeONfGP1JdljJkZaX66sr7dWXXBGG95ov2PLAcnvcEavTKJ7GCtTPj3WvpfNVWWTu18gdL+DR+
hrp8r3NMl3B2QSphwh1YfVbil02Uvho9r/u5p2MIH9udxHE+1lhJr4jnXfmpaul+7xSpjoROUj/I
eRH8QGQz1s9TW2/7o4dGgkaYRMM3QBYXJ2J+th4Rnb+2mNzUN8hcRRayMborryaq4vlmmRTSQXWa
pPSr5EikfIt9W95DQh5dY4y0v0Id0mfaswpB3WkZFVuzS3+NkId1P8E8KPnSqSZFEHUHpeOTCHU3
3MdV2SB60zRLOERTrbeTCjPhV0jUbslnwsu2fK4nVY35GFwET0Sk5lroUHqOIL91t2y+s2R35JyM
fOw+IVmjNA8LU6I+kro1onCbXrF3eoZc+CP40/F8N6mVv3bwBBjyEiiNf6g3MmMrqc3mD5wZN1cF
wbRqvWk1DI6PZbWMUKhEYq0+1tKq9Nwj9Zxnroxm/qOukYOcV4Ntnc7kEJcE4UBpsp1t11tXOE9J
VDg70BhBu7sfvyZO4RMUjFQx7Aw3fIomquyc6S2yw2G4WPIgIRvb9/3kIUw7sHH23ygJniP/rEJm
cY4oCH6Hcql6L7GERa67mvZIa/fMfA4T8hlhcNT3sDzLknbfm7N3UMl+DMinm8usnhB0i/1+H70x
mXY4pn0GxHu1r35ZE/aCjIwZB0ILtxr13OFVLjdydMt8QIgjJp2HwdOeZdB+DuyqU7FqDyuSoruA
NG4n9xu/2QoI5oboJ3VC8i5qRCjZ6vpsEYMWIUu2aaIPnLUzLeqUL1FhyRqrQoR91y8z2RN9ydL2
6mrpTVQWk6dluE2QrvVIYqubD0CRaWiRGdw5dYRrfOWuVYsO5j4AhZDHtG1w3rmyZBN43mm93fYV
0W1u9jl2eTrOIoJuYbYl4sMJnqD42ZG2hxhjSJ17bDYi6MlgZKzvDZzumilbQ4qEG/iKZ5OfVXyO
E2XdA7NTNHynzSY7ZBEnFs/YUPdd/ZZ0cseT0MOyzR5MJZv1iG+26QPrEcb7ibdrXV7bqtHJGSJa
3t0tM0Uo1gHbUYdA5yVKyvcdVsnwNLe1ZidrmqoCtxkiJjwjEj5K18iyDuNp1H0CzjAFh5gc7IjU
Q0TyhoF+wHvKlzWu3fatg2k8NOmK1ibNJ9gvVnmE/anMt3LcPmjKXXKSaoTWhQ0DyKr9OssoD8h4
R+bbbPwGAckqkK4aIlk/4uMy9rD5UDWnaKApJkdN2UbLx77fzXAN6m69oyoa9u0Vp4ZFjqttCImf
LpOahORJPYn9bicq7S124j2UZ6lx62E0y5EIduuxIU8PSL+w85m4WrnT5rhil5N7q+EJUOEyWps5
hVVO4FdX7UuVT40P4SlRW6cyJI1JfhRpj/0taxOv5wfiYjl932c7pjrr3Lqxc0gTst2nePrrL9pu
yIjBl0xM+YCgYO2fZYuLeL1TPW/FkCzMnXD+RwiIXx3t1wOiqwUSq1nrzI6biRDb4+rbqP8k4uD6
xxXXbL2eNBh4D3pt6iZPdW3sl20UlH3tqQiyRxw6jKpHXKmkq94GeKaSR7jWp+q7gfNK+23qkCiM
/gqGiEnea6rFqRfOBtRvNZHcZFO0BByF3YbjA9UeLGN5xBBwbGHSYAJooyL6AVf5kOYEh7o+78vU
fhQLnu9DS3zH82bbMX/pxZB+ZhS8iDwJEtHv6EVTgchCI5Yr2gnG1yzZSD/dj/VUQ3Icw77zOCrd
mbukH33UZRwKrO/aTG47srhJ14d4IDP8dzFnVR9TOfj6uHZIynmcaJ18kRYpL4VNS0ABsokcvw/D
WIojmbWnD5g/JcNz1wq738R6mAw2zBRrA7R4ENXkVQsT1fmu7Ds1brlM0+oxgPkS5Rtv+vXZ7n6C
IBq6V+pz2BiWbS5U3IwPrQXGlNV91U2HJEBX2x0hUYsPskyGoZhJSXEnmrqL79JlvCS5cnspfiTY
vgg0V3JltOiXicRL1u5b+KxlB9ekbO8h/Ps4QtyWvFSWm9t5WFBx5XWlozzWcIULOXb3NROeJ+4z
XWB7cKq4H3Heiw2JxVkCAe/ospCkkTsjBrwmTwvS1pFgzfhUtKFehqt2w1L/ygjyt49UtF2MZJIZ
lmdx2iSySDowMTObxPtR4TDyLptZqe39AuqUGvKe96K7bW0ZHmS4BKDu857cWClbcpBIsNlwjKLk
KJCHjm3fd2tUnVs+MPdx6cp4fR5m5CoDlp7oN6SaIwG89HV6QrmGWMsWKhqDqVs2b7o+1Q7B20MK
XTUO2yTfd6fGzCAMiRduJvRUoR747HuR3FSwUuozrvRk8zqmvIJn60gzY5AIfS19Fd5SqH/0HcXS
6a92bXd1N0V0fiQeFq9ogRJ3W3FJd9ROcTo/rtEIJrnbRM4hI78DhA6xNtJFE7iRQ8l7F2ZJPxkf
VYgE17zN+n5zN2vbqYfKw0G/aPEY52xbfE7rsjmlaapuF16F6yreum+hWvUHlXRz3hD+1LG5/8S0
GtQlftqCdrJ0bTtlG2mUt1mFajccA+LdwomvtHrh8TZeOx2kKvA4I1F9X/btOMyaXQfQF9NPPpLi
Q9V5sBYK6gYRncperL7LSjy5EjL5UJO3xpXBfWKM85CtTb9JUDnj1YeiufgBnLuw7bBNkXMcRiTr
TpOl6GOaxOii4mscXa9xCkEz5NOeXM91XKp7G23WHVfo/MnLzjvKcxXS1d0s6ciqb6hc++nAHI3o
aWzGJr3V29ohjbUa1i7z8TjLl2TpRvIwJUsyHmDTEAZYElhenw1C0LuvUY0sYSSbh4Y1BbG6dtnC
GpSiyi2iyecONYrPyiRKki4LLCzN6yZZMt2um1n3Hwil8iiHaicR644BETdszDQEQ/oAF52SXs2y
a/TTFqP3P5ghTfqjE9h3CnQ0lThPF/rdYRI9TR4gqtHsBvzZJC5itTF1jiGb2n5toA/oHxbr5Ejy
oKq1vraTTQjPYCgiMZHaNe3CE1pjQdEFg7K531jbWewL9SB8fDf2WJIfWjSr/mvLWnVODaYSie29
+BrbpI2+9ZhpoU3eDENKIUDoOsfTgWIpK5cVu7udl61Y+2qWnzk0/e5FeuztX6ydFNUFE1OE86oc
WLR+4H7XW5VFlApku7ty7nNVJh29t7vcwq8p5P7d29xAzXaQGlF/z6GrNwXDAWbmR2Q8s3Y7DCvc
Xa9UE1HzyLHKsCOSZJ4ktqd6EwAL6wHy/ZNOSO1PSVu3pC/SfUYJkHWc8wo28Ab9Byo+PeVhHS+1
CGJcnH/Sbp4rf6Xaqp1fOhuZ9Wh05NTZWrUw3LFd+bmYaLet31rFoEXidavsN+fbaT2OFemjXLVL
fNNMVcnzCbNHdxu0TivcEtFADGiBsufzuE4oSicOO5mXZYdLLowApvLWVHS68uUmn6eEBofqgO37
+BC6rkOI/CYziMKqJUG+mNTmGLxkIa8QQbqc98SiQavVIjLrvInGzC3O2ycRe1H/uiLaRB72lpC6
4P5yrmaVRcbEqUSZfdvAmgtPXRL3yXWpkWl6M1bBfFYSF6FInEvjLiMNpswvttt1hCo1kOhq2/Fc
X6EOiMW1wxGgv3ufNFdoAWL11cDiXNQ5UxVpnseV1TUsoeOeN0uGh4wlucSuGtDNRRDO7aKOm3up
PdnzGQv+Uxuz/tCVDR+w1Mrl2hAgGHfAKxL2KIeNt9d+ndUPIDFfUHo4yhGpwkEBN8iIoc8Drcpv
8LPQTVH12BQbPbd3zhFUZjsMRvy5E7LOxz0gcAQMenJqxJx0d5NLbHc3l4u9WcbR6O9IcHbv0dRa
W2xLhNuYbuKlXdLLcKeVONu31L9w1BKuqPYJtTp4TW7LOi/6I8TKimd69BVqA9AWVoTdyQ14LXZC
C3zH6XsPQj8iEuUF6YHwe35pUYxllIGBfgaUruxtMskpekwESHwgBYmhWs8rryrX4aYsgVgoukvd
HDaSSC0OWvLmqZqQDX+IIRSYft1W2q55VAO5+ga7AyTIzkza9DDUNFA8mg39MDfoR67CoG1GNTbQ
MVuXGSl2FV3qV8l6S18Sv9RrHnobo9sRabdumV5lF31tmrj8IS+lyUluUJl/Cnx8d23nUpS7aopR
zPZpu5wUMkFkrvjcvxuGJZtJRHbkiAUh6aFTqfwN/GuTHRchyAP8LcsUrQxC1Y8bFV58GatIQX/c
qBLIYKR6OCPZEVYcBYqS3l8zbsxr121JjH0urfXwAqc2pXM61z45aZeGN7TO1X4zd7R87+tuVwwB
3WGlt33t0+lTVBLO3mNEZrA3tJY1kBFdsVtl5hZ7B6lDTqt48o+zKsUIqRFmS2nFK/LYRJwDzUbp
QW6Yh6HoUa0zp8XmdpIcVr7aNev6ZfsAT+Q4/TzOan2KotR+lqWIP2Hc7vYrU0JvcYoMGuOt67f1
wFMJQ99dr+NnXPP2Zohb0Nq4RkI2PE5Scza1UlPOxqH32RiV7RcodbdsYtDJjGPq+c28jdGj4H67
42qv5dGUsBg5dCxsVxNiJa7isSPnFDnG2POGxL7UqmLhYawM1MPrCr+fjE1L6T74BRav3+DBgebM
Bp/WXwANJyLja8B1oF5rbAsqiRODikNAfyyJ+1RvHEViAiihqlBlaBbBHlbsUTGDBs8OTFbATTzy
z5FTIua9uaIjGV9gv67bZyoNROAbEhieG3yQLGnWeFxybNvB+WwGNpY8jG0t0jwZ8XE+GVN6c9RT
qeucpmL0Py5c17MZur6/2YTYO7xHG9nnNk5995BUwqNgC01ylHKMzAkUSuGfAEUPB2wTw3CcGdO2
oPXaxaDLIbn1YDzBJgIfmGvcC8AR5cjMiHbbg7S8huCebVTrNR/YEnfXUbT2+xXsx/a3iCE2KesQ
DXlT7WbD8iklLkfryaFV6ZJPk/PXiYlRcNbNcBPGmj2DvTxBIQB/R+AcMGpIUlF+iXbQyY8SCpnw
CTjTtuIgsiR+c3KuqEAGTrsDHrDdMg7nAROK5lu9T7bPcacgeJdtjcocO2a39nk9lSP8y2FepO5g
kSZFrjwfl/Nm0glx9cjNRnZpuXLZZBGD7eHRq+SyCCO9VhXSFSd0TNh82kLvVvmzgyhDZdRsrsMy
xrzrfcHZWZ7H2ZGqWOGoTcDE7Gkav5gUFVqxejXXuUhXDq2P46F9aTicXgoCv/nmSwdAI836Yanr
T2TbsXtUUcTjay7inuW9oh0tDNCwNTfDCmgrgy5vqwoNHRd5SMdplk8IBGnWLMAFejwsoWQmC3RP
UcGoMXav0YxUhYxB6qGekGWziqs6jF68cnwp/9miQOW3zMadyNNOtPSxqzyBafKIpqBubN8/Bwj4
2yPVlvQhYxDbrwAw62Gv0Kg7QA54qDcUhcg1LyeEUStb3tWGNPs5Tsk23KkROG3Gx8TDL32s53fC
kqa+p3s5gApSknY4LXKN6CMkaoJjTc3J7jH/GcJ4RH6jn48gF419jqkKW34MvrcRAhJ3J89RBzjl
C+n6yx3iaHyKeFajhu4PDVh/vwA/bHPoK5xdMngOxfSGcMrQXDIXDacGPIv1h6dB2aLkvHRXHvu1
L2Y2ju2hSxI5FRSJNK7NprkP9RHdYKduyhT2ayBfdpd4MKSlmULXjdquS0eEzKETqRQr4MRAsKCa
ssc8G6NQU13zdUt21CxuTE8ACQym9RNquww4bNxm0ObtupjwGHTHdFvi6V00rO0i9A5x6pKsSmBi
8uvY9h30XC0mZA6HaY86Mc2jblZXnI40bOc2lol8gWd07249WvttxBdvUp2iBtkS88BE022fI3wb
FWV17BKzHC9u1mhIV7mv6f1y6aBvysi0G4ov8GVhMBXKqnoIfWzRrMxLwrHA0xaYlcgxa2HoVont
1fDaBHTXoFMF0ZP32a3RhGJAMDRMxkFuuyKtxszXVplFPjBsHhVKRan3t7bGNOKb1t60x7RKh8jj
6o7JgLBkPjdPKcp9rGWqRMqOI0qj6b0eU+Zl5mIFt2Yv0kV+jIHPNYh/Af7vfqg5XdqXMVpM9Ggq
DHye1kujCseCIDuai3WCrzFkc+Pcnesecy88JOmYHGeBxocfkKO4TDcQpVbM5ztmSAadbjOLRhSE
cSdv/IhJ0i2qa8lvURal9sPQ6Xa+FlXizTlaEGb+LSGkJDm/1GzHxfTRknWC+ujWEBg8PUWLXRrs
cbChzxUq4+EQll7O9411ELr0jIj1496BRZZLYjHkaZJugMXMXEXuVXI7lh8Tb7H5D8g30Ot+He3I
10bJCl/D7uzHKgmop5BBncdic8spmEElpxkou7/qWr6TF6CKjF03LSaB+Uh6EAAOkG6SWRZ4Nndg
WxdELTpOM6VLnvBeRxnW3B0fbUgxa2SwxziSGNTq6dhEMeY9fMCIJ2QdItZkFqZtZMVcC5ae3Lao
/TSmW0QGWLpRvyhgehWy0syiYn3L4tnaF2bhqv4uqnTpb1HYNuLYsXpRH7zHaKboKqkrqBNBTn1s
hqHjN2XVDe0HL3FhbgKVrb0mCyJ17lZ8VorI8bCzR72Ivrre9KzaT2j0mnLNyYJqeSq0kT1g6xQe
bQ3JFyzmMcrh/cHDWGAOKKQ6tqAGXyyMxVc4GBIb50rBALM/9BgF2eWMAmzGhXVCj/MjzukBwDPI
OBiloXZT4UOCyw5xlWJ1u3/C9KTcjitW8lHtu7hFE82jGxqVCoUdJ3Cvo5cxnqRXRHM+XrVaTOx2
7wxErjENxn31zaJgWtEusA45umrcQp3FnjOBGScF6YpMVq45B7Bhv/UrLOsfDWwXLD1erF5jYBob
Q/q6nHe16lz13rdF6OdLopyz/J7NZTqckf2x+9M0jEtSVGsYh1tq4VMDiJRg3mrCLJZjAxA/ziIb
x9ERM0rXFJ2sFNrOcbIjKqSkb5Lvm0DM+025V3p7hiVD6oC91+W8vyUDS6ofY2tIdyYJpI5nAtR3
uoNAe3YfO1hSo7YZWLrdxmlkw69hYnq8DaGKLAC+jcp8VyhHMuDLC2YrjbUg+00uvVtIb33uAoJD
zzM+gi6WndI2BzeeY2aephdG4yqPCmTS+25FMvAn4tvK3s1uj4drgdi7/XK3RQmtg3IB0e1WpPoH
YL4oKTST0Whh1op+JrcDnvb+gMq6xQGJjfTS5vt59A8qmtckD1EUz1gscpohlxjZ5QqqEXAVKomZ
qQcr1i6CsrsRzdtyOR/fxAKlOuwNWHWejApxRrDfdR+SeaYOa69i/eSyUVoI/QExIShK1KQhRUJZ
BHpNUk3lPa2F80dso/BCXLuhWd+d3sbt1uyiZ5/nbeEpmpdJL9chiH37LEU/rg8XD8fkZPulzHqY
3UwZqtHqApaP24ozFwPMRxmCEte2htLgHoOSHh4MqI13QFtTC9SKIbgyZe47hKuTzCAsov6w8bEF
ajdP9TNoEjEqohWhzM8azEaci8jYgHejWmWpXsRIFMi9A8E8a70aynkyLmug90szI8EjSHLMvufl
HUBSBfAWgA1x34FW7E2UcYfyVWcMu6wDhtgZqD0ymNSj7zxukIciHGjYUl5/hcI6LHO2eITYTFf9
6lijcz/BPxx1KOEbi4s5qUHlKP7Vzg72vBGTV5hUJS4nYATZLJJuKnMYJSefEvx2dLP6uhrPqr5g
vxXa72287Jlp+WConQ9AC/YFvNaojM7/Wi4b2YJNuxOMuretIFybJdtDzR4wsBqWgpcQf/85BtPP
4XM8pENvBtsdiPqi0498/XN85p8NhViXrBjX4HWT5lkCtGjYn5TQ/Bw6Z2B4qMpGiCOOSQIQSa3k
zmK3tv9Ew/sHhlUYGfyeeQUojDow0jCZiLD+pto07qb3kYGNoJ1HAE501YgFEGqij5sFdIsGS0ck
N9GG+/SPKVQXVtH/xDb6iVhWYUSzNdEsjgZppl3RQEdwB/LglKNew/gRszh5/sfv9Edkqp94ZvNk
8aiBU3yEIcAkPrhgyqUYK9S5hcfJBHdSOJJ0qEq3MPyTK/wHrLmf3Yk0+GE4TSg7colMDgfbmcME
rPmffKE/evWf2GcjEv2sqBUDc6T/0c7xi5djmf/ji/VHr/0TPRRl+tSPVcmOAbEfWT2Hc7N0yZ98
8Z8YZi6O3WAWzo7AoA8YpDZZGQN5/HOf/Cd6aLmtjWOq4ceKRBZn+lpmcY3T/8+9+uV6/TcGOm3H
BOwgXBe69/DmdQopk7v58I9f/A+eUJL8/sX5HPd+3DQel1oo+maBKfmc8ECRKyRpP2bjAjb2CboS
Nv6peL7kZ0eYWlZewEaIHRGHyj6n02zvdQx49R9/od821/9hdZOfVrfQIQEsVKXHXqoaCLQagsdw
Bf+9h9jxlxSVN/5mSOOBXzWj/qj35mOMJ42dStssNXqVqj4gnfFtWxNEN2dOoCT790/3v163/129
m8d//xz2b/+GP7+aEc1+Vbuf/vi3j6bH//92+Z3//De//42/Xb2b++/9u/35H/3ud/C6f3/f4rv7
/rs/HFCXu/C0vM/h+d0unfvt9fEJL//y//eH//L+26t8DOP7X3/5/tY3Q4GmZ25e3S9//9H57a+/
0PiiTfnPRNnLG/z9p5dv8Ndf/o+13/v/9xfev1v3118U/wuJE6qApKacC3VRcPv3y0+k+otgCq/N
05Sk9LefDEg8rfGO4i+KCxYrwfHLaKOxpq1ZfvtR+peYKqYkRzvLEhHHv/zHN//dvfmve/Uvw9I/
mmZw9q+/8N9Opf96liQy04jCO8Xq0tPivX5a4KZGoVNjHn0q6x2cHrJFdXxY4jLRsJJeIECTZu8e
JdjQNbqSRA75WgUnstJpFKi1EysGrGgh52I3Lj4OkuwMRCK2mBMssMvmyoQ0Al1kXg80jtPLg4o5
XjSI5jplYBVm1SIB9aq1OfMBsy822Me0GegT6OL8vqIBI1AaDbcbVc3ZVuV2t9D0g0xHm+MKhisy
xnNhDHV38N0+omoudArHOsaTa9H3Oey7lwJijh1WNivyIR32dDDFzVGEdi8AnNNDgqItN5O6K6so
vl8jW12BQvdtiJsG3V4nC40+Pd+JVUfDkrdRUZZ7EJ+GvgW/YGyADVi2Z8tWhrMejXvalfLXbUPq
NzXxNe+QLnw9xO47PMHliQgyH/Uy4pgEo+tONvy9BFnm3k3b2w4Q6YgarstSHd3zSWRG7z/UVJ+j
KoFcvPy8TckN5N23qdCFC8t1n8aIiyZDDRQjek2N9MdyS9667hKeYJD5ANh76YLJqU8+VqpeQcvV
+4G1cBToK1C5plh/BiFgOzghvnBNbvUco3cT8NgE9bdZtumgqglU1yVab+LLiJVO8XXfm3AVmvRq
i3iTYXE+tvMIzgWoNv0hrXqKgX/6I4DsUfQzJ097wulDWBDr1gEt+YaBB8A9cOWqV1pysMv0hldY
kuhqiH36Os9LdNUtk3zo+0rcJBsPv87KYbgDAsOUodncb9oRE7W5bh9IPDa/prM34Cljlh1XEagf
FkMU1nTubYQZPLx4o2eUDtct3FXzuIrBuN6jOXmgpS9PoZOPoPypwvP9WdbmCXjXVYR9/HHvG39m
a9cAOkKga0bakj6q1UxFw8JrB9ejo4y6b32yrHdW8HNEu53Ait22z0JgiinGSd9sBOPSicsj3JP9
YbigcvBADDeuFQ8Yi7FnV1kb3wqBgSx6gCGeigHaA1B4gHotR/jSLQ1ANyRVI+29QxCDXvFli26E
t2Sm+aJ8zhcMSw7pXvbkqm3AV8ijSNPnWUrVZRqBemsBtGpoiw5YDAAI8IgwxCDocw5WyFDBEKNu
eC5iU4qiBGcDgjANmkSGmJUaXOpqXqvbKG16d1oA8rq8pq0FZtNihPA5ajWoeVjP0u1FizCzLoOF
tszpKof1HsibCyeY1c/hppzqzh/lxjp0MsM8yw/wPmXm3LIuMgAbm13hfTUKMGIBfeYVjTTiuMvy
N7QDU9IDZu6mz6sVM+qrGvAJGCBs8vzgKGlqJAMjov7N0LXucxMjCqYA+dXU2QDroW8Edk+fB48V
o5wuH2eM0EMBmhsmfgC4a3Mq6f9l70x2JEeSbPtFLJBKpZLckjab+TzHhvAIj1DO8/z171hWv+oc
HipRwNs00IuqTcLD3GkkVeTKvUem3KSnM4oyVOl8Hc9UOYsfsc9wsZhvBO0otwO/xkuWmjwhjAYC
VllieE7L4qlLdf9zihoiHUk8TWh8aWJl96pKi3S3DrL0tkU/dvo2zkq+fckoYq/HWfRbEWVtTlni
rfYG7aFO98UQu9ZRNW2f/2haY0h2vovBNxSFF3WBHK31s/SxRDTzED/65WrC9ld84FBnm94qRv7Q
GjrlEWRx6wQNk0RU/5PCCvAtUwkDXl/2nxMlI2YwVpfdDPQKZUBYLz0Ws1o/PQdzC3tBA/a6PKe9
+4wn8N0r03nTlc3y4TlTsyMmkD/YKcn2IdEUh2XZP0nXrRhtdd4H4/WWzdu9XL9Z5vo1qSFCUhnK
VwZWJI7LjdGlIzkB7COKf7elwTYthyDAPI3FpW9hbe59I+KKsj0Mj6qmiwpyz2julja3tkY8R8Ne
4yliWOFm7bQVyHTTmbf264jTmxYPv+oTizBz+xGz6xjtctf1GC936tyJEpPEwvhkfnTyBLUwlw26
gZln8VPuWvGXoXJ09CkpSLZ5rUye4Yr24zddrX17WjHHr7t4TDoVNBpdLMmWQzbN3+c4jbxAcS8z
CtLKZ5xZrzsr6lJGa9143/dLcieNUoejPc83nj08sASIDRKxSh88dLkdU//yxVhN9wLVeP64mgwf
amiCgKBIlj2D51oeFowc+f3oV9X3Essui0LW6RiNhWsEE4bJT4Ux+sHo/DZwRe/fzX2Bva23Uu+7
Ft7wlicZPJO2dBJFYHLA7hb1tvfLy9fmUi/D9CuKx2kIE79y8+fOaFD8XAMLobBVHG9dDAL5r8RT
rQ5TIzZvs3FUj1VlqTf63HSPKC7cHTK5yi9W2cy8FbC+G6XfPle6qUFcYw/+KVyv+jW6xvQ+NWKo
N42M/Y1yClwjVtozlcVn2NzRNts3GmtIcZMT23k2UrspLmU9e9kBV7tUIKyMMd36Zuy9u5UmU5F2
/rxP66gSJ2Vl8qtCIntQmfCeTYaVFxZNJNaZZZ3uCylG59s6XD0ZC2/VwC0W/a5Gw3wQs8XetHzJ
ZzRIe9x4wlWHiBHd1tKOdY616I+jZOAfaKnLjTNM+LRdRg3ZzmvboglXDJSC+fnaveDQMG6jEs9q
MOuuGQKl87W9gep4lWV0UWIfY+vrwswV391grgshobyvTghrgPpW2+6chzYd8/ei09x0ldb2uC3G
MbI3gnFvevJLpldHLxr66IgcZrQHU5qcf432VPmAB9FY7ljDFYsHg7HuEsxV2o87Aw+jhwHQRX+u
Y/70zTTlGpebkU12kHhWNrGkwHf0JSkNtYRjOY0PlogSfZI1UZkLM+kVURL5ygvrrnr0K4yqDNON
ZXiMmsSpXyOGiXOBCTfNGZAJJpzbMuORx9Dth4STxpvMtbz91Df+czQX6gGNfNJhEfHeV3ODUViu
9sF3vHlTg+o7cJ4Vd8A6ioPndt5+lHFM6Gis8o2B2e/SRZJVByU7YM4JdqomrPOmnrghxhaTGOGc
YF5ALA62ecuIPQF3GT2aPPDYYJJo2yuT1ad5Pb57FqOYIk30S9o1fZgxDGH5X630s3R0rPFWczqs
RjUf18Vr6ktbVR5sPomp86Bmej48rD2uG0blsr8XIjfvvM5lCa8R2y9y6mfWxCXGFBGNyXgtF1i8
WPSSpsXRwFj6sgC94mtGNdVbfxmGp9lOp/poLV52isWqvzjmeFlG7eTMAcKgrQ8sbIu2Fv3HZ20V
/nmRZn6/yuq+ca15T8tnBRhfMTWVq3Op2tpjrOGcm9Wxt6Xon7VKMitIyug8Gc76yYGRPmlX5F/1
UI/7JmushqGokR2tvo1w/xMo+yJMQAlWOcTlcnM6MPLmgKrn2IVynbSptTU7QJKN7Zp4kGwOgv3V
2h/dOHHvs65twhE8zfN6h629hSSzVD+Y8vzoGyOzw95KCj8EsuEwzbNzHwxYXrDn43fN2X/1QL/v
ef4owvy14/mTXmLPcIuqCvFaVjliN5mj9lQikz//5x/jSdtXDHbYr/znTWDjSpwWm8F0BF0zlUGq
NWjnpZF/hyC46lJ/bOCu36+F1mbSEdLP/VHmsHxD9J4P1HaFYPGZXk941a90BJr5YxzORpb8zEeU
jkD2hfD+5mL+Fj/+88ezf9zFPOfS3f75z0zIHxl1a/dH2Sb1Lr4WAsIr1E5ei4Nx6vIHr7GbXVbJ
5SNbqhmfx/w+mv7zSnUhfyszkO3za+FRkutgw+n97BIqUzZjvZPJ7Pk3HyebPY0pye86jINZULlr
FNR45FtCjH+T+v+jdHq9PeiETZeWnZGiUH9GLa22jF3yW/VxZeQDDzpLNH6tKsFUMqjR54zXuWf/
jej41w+1TWUSE/eoTJX7Z8J4G0Vajjgc+VC9XmzXppbuPwD0sqd6aT7//Z15ben/+JXxYZbp8wfy
L8k/04O0bwssM0V/nBhukIcXX3Nm7Apz7v/mr/rrk2ZzWzoOITxEDvvPSwgFbjZAW0mJ2lmI/k5a
dcTBWVrO8DeKsPX/uH7MLugiKROF6fwFN5lhO3BWJz/iolTneKCkYBwS6wvqhz1smJ4JVi4zByNI
Fk/dXTYNtrz3LCfkIIq/SNFQ/dXWSAaoHaL1wFJv6sP2t1rx31/8v1wTyxLcWj7CDpfF+TM5RGOF
7NvKS45ZHJvusfaG/n6uZpql//hzIF47juNflaS/YM1VE3eN1kN8LMmxD5vWFTA+dMQSlt8+5/+3
3HeT/GirrvrV/1nv+4NE+D9IFIS1Ln73jfxFFAyS+LP9vSj4zx/4pyjoef+wTR4MYmEmr25yJ/8S
Be1/8CJ3hcKU5UAiuubI/1sUdITpKv8q1ilBiOn3oiA/geESo8dVE2Q08h+IgkDK//CGcKUwPc+2
kOOc64FiOvylv9flGxixXekX9r6OLPmcarluhiUuT9j9us1Ie7wfm+Ijzoo5YFDufSRIbRchnYFm
g/+T+9K3FL4smb2lcZzcluOqbiy/JGTPhCr2gw7fKPVBq9SbWCfG4RM+i0uUxVfNqm9K9sksaq/J
gL75tqp+rZXbv8WY8KgybF4lyjXme9PTWCM70whlg51nMj1xmlusyUM3NWfZldUJ6Y2Twy/7o8ZP
OW8sYdhvhlqFPNd9l57T3Lc7al5ZPiOJreaRF4lxNlM+KHRkOsLfUoh/sVNEL1TPzHQdwzkrvxq/
MXoigJwaGEnDxl2SV/zk5kvkLJNP8aL5t+1qJr+WpwxOqPzFl399/AJS/dWp7TCxOczEb6+ZMXay
4NC5mEWK67KtWKRaVC6VUKzs9sGoiUQGVFnLA0HYdEezV96UnqQHMbMhzhAtnGK408iBv4ALGI/Y
/CN6/iSaKApJMwexEY2k6oyluY3nzCGSaJJc30WuNBQBgzF76NZlOSqSoLthwS6HZkIflk0ZyfPB
rS6USM4xtSwNnVtiVixcCl4xOC0rZexfcZ+7yCixg22nzGV7SI2MbqfyzcEL597k28VcI7IAp0/y
jXhiRpqOZDlrbupd51ruk1OZ7m607fZr6XPUpLSjvx9o+X7UmTV9WP2oTigj+owsUT0obxEvkyzb
G1IKqRPGi+kaO6c2U2M7D2NZBJlMdRe6qXJOg0YBzbPZvyOJX28bFtjr0KlkcUIOdoFjpHibca0/
rE6N1Jga09ZSg/OtwJ76DPccWcNkb8aBTQvmQ7Ia2GwIGxDfTp3ZvzWVH9/VyiTE72Zef+O0nn1x
GlccTcsQJLmjajgO3SqKoJy4pLiWsuJgGX76kOiBbivzx/kSTd1TYa7RN78ts5ORSfnhtoU603rn
By1awWWqLP+2HbhQgeOWXkeQFu0sLNG78Yr4dOOBqjqaRIvIVRl43WofO/SmJbBVJ4B2je2jUakV
j2u6NafE2Dh1862uiwg3YlVsGhx0r41s57D1q5M5DwbbX6Nq4yzyrs+IdTLJ2BV+H9N9yLcoTrbF
ILpdVbmtugYLLtL0pi+8kT8so21uC9U+NW39y0+6KIxsDI4+Hpoazb5f5XRXILi4Ti2JvF3TgkLt
qgSkyF3kFNz1VNOz2k1Yako8ip0XJHJegr7q1v0M9KJHHB+cUwuFYTJtKmuSm/bGX/vi4rnoAjyG
4wsaV3ljmCSKcUSznERikHroFWUW5sbrdpjVNOIp0MbsfSOBl5VBj19+5HbV8Y+s5J244W0i5m1F
Ttw/eescx3t74OIELnolgSxv4pfkhxwzqFgOHfEkTINxmZwe++3kudkXmuuAKZEkB2gth9uin/e4
bOXeHKWJSt6QCm7dNRwn09wXWhYJYdUoenG5tOHQY6GaaqywWJ6KdpPF0DHwbelmW6b9sCPsst5g
LzGfvLRdv3mEF230yHY8E8mojlhfsvtIeNGOTEfyq06mqMf2SW4zIPfOftCFfE9iG9McrAJmR8kG
u49a5uahyYj6QBnKksMSJfRhxH8JJneuuEHJV5im/eTAFvX2XQrkxahdCOpEGGEKRh9bwLPjk5lb
7bsB/IMJDB3Phiyqu+8Gei2uf3efQtMY8T7I4TsbtnF6CP/AArqzlWXLhVh1/t4K3Z21Zg/umhlP
9KLZMS297BE3nb5TRPfvhJEVe68s7fumvNRJf0QWWe7NPkk2BJ7GFyZV4w5/Tgl6YHab45rVxq3Z
lWZ9trmb7ibcmBe6dFzlGcbAE871j8j3+w+XfQevTTJUN1zm7KHIVvmtd0r69AZTWB02GLruNMyE
C+hkhEQBQn+TDr29ZeWTH3aOJ27iYi3XzRQNyVb6wzlfVhnG64gX2GDpUWuMeL99OvendYL6m6/F
+hStPWPpiGTlm+fP9napsWsUsWSIlZPbZ8Sy1mGn0vQLDsNwtMaBL6nAQP6Uk1TaDdfPdpPEvu9x
oex0gSgprFr9sKZ42atI8+rzCrGEdpmXmEOtmQSNtKEDuZ0GhSt1vh8njvu6bXAeW4r0eTY9xn7n
6KA3WBPiEQA9+uuiIZjEdZhEUf5msAXypcf/d1kZhWeB5TbiVMuoGcIytq2jNu2vbjGzDfSW7Ds4
OAD3a5XWL2QowWpISo9y4zete5lrL70RXregS/FudeLik9RRwm2cpbepbPWdXXckWKI10vjgJvLO
uArxVpFtto3tosvqwZWeRUvTJOtzJSjeULtArJhdq15xl40v4Pq/2qGq1n0SdWRsdG7fuX6nf2KJ
07tSxX2Jk30m9dVJKVnZ5c9bMvriNW3d6dnlVfMZzSzICkt8PCBdMpPBhJs69Yu7pPlPYtlZyMYj
Jl5xwsgAk9tHnAqhDm3a2Hc9gtQWc/Fu1hjpvArG7lo747sf6e94cg88Wt65IVGzLeDRBKRqD2Vj
PZkr3/OSVtNpwXmHzt8EJta60Bum9Vim9SLIE/KQHNgk6JznMlVPYwkg1+gGAf3J749enFJ0OGvW
fSf7f4uqyReFB+IoMJ/tm5TDNGDKkG6IR+ab0hHTg464p0k+cbQWtg+CKJpeGKWAwltZ9wGtor3P
XTm/ZESrNuBenCDLS7ZGdrlEI3aMZ292t7NcINuYwnuYOjAL7aSvelCSvlkLJJSxheXZjmX9RbI1
208ZEAtNuXUgV+i/4+xc7iJLVV9jJ+bdREw7DSayZ0/I8c0BXj6FiegOpMriS1wNyw4+QvMNRuV6
nq1K/SIKA9kkcu5q0SbnwuC4L5lbfl9KREOicZ4AZjB2dhwso5Gcc3y2UIy6bP4VReZ0WZdUJ5uZ
1Ru3i2p5kUxz9R3KgdhORkfWhPDIfiqm5F5BwNlBI/F3bm9luzV165sh8pljJiWjxkgyJOjmr0Kt
3T0cnlsWqvcHixjwZrGAMnk9S/ncRWWXpod7gAB/oehMNqlfyrt8FPkhqnmtk4kGtM92C3ZfX5Ye
Gwdpq9ry71ytu11R9VcWh07cxwrCiB02tWnt4sY4804kZCbyNH4uGt6rQbXMZRKa05BSRvjNenYJ
Y+7Y+2k8euZimx+E5Tz3NEbdDEulBmeHriB/UWRVw96xC+uVQ6rZz1Nv/XSdSTenFXBWE7Re5n+N
g2dZu7XlNOrkOD35ueMSBx3WG7MzbuDtOY8Uk8uJzbfMhswuYxdZ4lPNkYoMPFRXhvDa6qJgah37
Oc8sfQCF0lFSogNOfXq2nVrd8kbot06ji4vSYiQOpe3kHe+WfRGFAeiQOnO9bXuwqIw48VPnVNZP
FUCAC88ruoNlkIdsm2V8yAwoEMHiKu9GGlZvBrUqV0EURJpMuzNcBbNV5k+rpQSwRmzuH2UWFxe7
g5sTWoVwbu2KCoUsNzwNilVY5bFW1X0mekeFXdFFKsBnnqxh1rR63erVZCqdRXX8ZmYxk4i67lNY
RNI4aZcSQw7dscry4pb5psqBvxQ3YlTuA1uxpE0BBlU7TIuy+CJbZX3X9eCRPMvcjyG2hiOzXkz/
Cj23CgEfZHEYlQgghGw8oOEli0A3RoV/bhutk/cMFYJ4dctUdjuj6mG8uiJQGodArp8DjgNHvzFi
3woX9n3veWt94gLrA1+QP4k9Ge/zqzl5Tvo9+wfvmeL+apBODlFZGcc5jViCVRhHs44P0klucZX4
wajqYpMzJH0ypxYYDFijfeSwjCFjyUOYS/bCXFsM10Xhl8MakjgrK2pDfpOTcspfJjOlTaKNg1Cz
GfBFJAEt8pXn4hsQmOI3v53yEK/sM8zOJbDYLGNQdgS0g9OuTfs7unOIVJPHYqGu2RSmcbAT+BM0
I9+Zh1wyJyVzyK71lbgzE2z9ra/EWZu0ZsjDmA0BIW2ARSxBVsX90c2KdVtM1hgwXlk3UVLYpHBG
RgZy4PccgeUqH0vCBA+WTDch8/mTSdymG+JDj59jgwfgbh3c7H6yCzblxeZ6w7Mn97Ud+RuOHtay
TEvLRNQX9imF9vEY1YwaJMm4UDegtxpzgKImEwANRl3aYAq7jKLUWMb9bDkRg0LHikKoE4sdGv7g
NYGb9+1FLUOahEPO9fXa3AUVYTC5seV4kIYbvQ6WGN7ZqVunYRznNCxpr5Lz3F2jiKsYx4fcTAty
krr2X3NZzJ+9raNzh5XfObRRHVDQOO8MZge97Ykcp6FFBmA+mWwffVS1noutsm3yGRiVAw4O8w0C
Uv5Ekq3GEtRKhfMiy7uT67o9NahH8JlsSv2Gpf7JZvS5N3vvGRKNc+YFw8Aqqb3DnENqqUnjNOpq
BQCn6judv60tc/wpFrL8VKemd0ucG+8NKbCeR67OPxbPUzj2lyYNqjYav/FkJSGjKwwBRRHvCzWr
/Qy/ZuswrTsK0pundBXzofdQCQKP8PU2EW19Bs+HwAAsaHrVRKg+KmhV+0T1A2lHt3NfPAoXiXMb
0GsQpXb2T4X1f9W3v7HkWUR5PSHNf+vL4x797Puk059t/Hsl7nc//F9ynPwHG/Ck6aB6Ebchl/cv
Oc78h3B+k1AR5/EgXP/L/5XjMOIh3l1ldB/FGTvev+Q4y/0H1aaPR09aqK8uO3L+AznO9a++zv8W
7GlaUYqlQPXzGJXyeX+yJptROmb8b965JPnEbrYYnU1dKgiA4P8QIH7XLt22mcVcd9TRkgYuvjfs
bbOYjaBXvQwnX4lLORH+q4YKKvAAr+OCbJ8/ZclkPPOyiI8sSRzvVVHG57bgFUhQ1y1YqJr5W9eu
EZDKLv4abQ8qhY9rKt70sR0folnlr6smDRxGQGPP2ioBO8ZCeaE1RcuDogyHzrw+8QQuDE8PxIYJ
bQlCHtsB8PEZ6E8ZgvIwxW7BcIglYdZ9H7r5Ykx7+H3NbVItUBxogcynCFfXO/4J/VSJqtwoU6Tf
GzxMN0veFHBBaLC+6wrDzxwzaOvhj31OAiObb2VHJ8VCiO0Bs0yVWhmdYR6VOPG7/K5es3RbGlyd
Usy89sEEW+wlCBO7FTuLrjsEW8UrsFLWdzhZM3JONUT4Z72E2i1W2feJFPgcZDr3v3Rl6BehUjsO
U9cnXwL+TFgbypVyg1wwbX0bRcW0E1IyqRanlC8gHBiQhb1Kx/Ncta8LM9lo44o5yTZrBzU0T5lZ
huvclNtYrhmnDcTYm0FN6WdSyuKnKSLT37cEqUgDlWPHXj1/6S6rTxyrdjqDpqkAxh36Y69n4nO6
R/ugWeEUnfRN703+afbL+iPuoq4PCyyDZqDmhNbQRqsOIRnG70VeSE3lJuIDXBCDLoIjb4P9BoAR
PDWm7IvTljqootY/k5+HjJOTW/ki6gfRySa3exgSw9+7VIEO9hi1bEVNWjFwbS+rtzm3Nd2kLe5p
7OQlUkP3HJdx9UkbGadYhDBynXvNrRiCSKp/NIWzfHR+XFkbh3wTeL+0rb9ZA4jLgKKNVXNwpNsn
y7X9eyktoHBrPfmXNKu6+yJumobENjCh0J+9FgNOOb920igYr1Mc/ITdx1pMClpkDg7776pR9MAz
MbaA5nJ6ZqmrXQS6L7wZpmoaL4cJGcWgb4vLM87YgICwmPYGI/9AYwh79Ul3PTrgv462VV6f26w5
wMdAcpI10ldgsoRl02iH3a0RvfR3zcN1/dEIt5xs87w5mEmXtlty3d5xxL9znxuOUQRC5jPHaLOY
74pbbiGcR4frRyykCbyh4reG0uUEnt2Ymt6aSD1OUU8f1i5GlY4wn+Zi/Zj0vIVgHdoFG58rhpx0
CRj7vjvufOUwWHL+mMcUOW6IZxLj3fQ8T0N9iT07OkDYEqeyyFHiHGa7oSb1u22WuXtbO5dtfLrr
5VZ4E9jAGXOLa66KoTsUi5DMdbmjQFFdMHs4MZd4z++9bisSkqhiswhqO273Q9OWV5UqeoVyU4Rl
bzPFo3pQoWENnQgWYEJogbpoNvF6NXfJNTGtsJhmSivsdbIA09QkPzHIxS9olfHZzKxMb5veRg4z
pJjIxjJ02TXCbuF1Nc3wUdhp3PKI9IYV4Ezk0V4Lp7mvl6RYdjC7GFMUa808wQDG1SOO4oId1HDb
NNmyBEvJALsvuu69M90I+H35lRVjOmzKlvf0mBMpjX16gC2uWgcSqN+8mL1IbwhlEiXz43l8k5Fu
Lzam6w9rdNOcECwV5wDHhRZnjsDtFQSfGTw0q/sD9Bg6cdH/MJtE1jToY3XiKHGyUKd58yUNkAyU
V0OzcvGm6YbUrO4pk/TibDorZWktcgGsFnzTrIrj71QuekIeI8ak2mIUDT3zJyDIqg+nGU/yyjyc
cXVxaIu2OUUqKe8KrpQZJLWzJqwoYqnOXnR2Fx9ATYgdVWpvHhDF/C5MtX3NmeYKNQzHb45lxjdl
B86xBaUyLd7JpPLeWGTAhgDZlZeTn5dPpcHj1q1JMm/yqWkYOHVE8Grf8x76uhWvsJApPxUIvIsZ
V+IFu3mDLSz1Tl6aIxkRWTRU4JFVvqt7r7xTeABemsVF+PUB2jeh2425vVtqKys2XTLeoDOrNZSz
1K8+22aLzVy51i8Topt35jdEcVajk9PyeYv30TP5qTigRHfDc+sUh0gKLDr4dNQz76b2MhY+JBqc
aTvbs9jvErFyGmdGu65BbiRGHILVtXZGUyUXAvDu25JeoQjVXNxlqW+GuSAKST+R3AsmVWiJlnWf
8kYKLUjFr4M2s5fat+uNtSDiYm147utR3mesRtsMWWofwJaYzw3t50+RVnOEaCnIatmVfUwZdRlh
nMjouTC1e+9WyXOF3nAfVQvN2cLSKeK0aXaPAwusm6yrISTc6ADDJFwcbxMTO2vQc9nicHFTWQRR
7tGhJXVu15+JV0Y7wm36GqoiEka2ZzpQOrvHXlM6jPm0/siBEm0M6ARtCFkjvgNN3V0IjLr03Cr5
lvTtB9EppP8Bd1/ElhbAjkXyGQ0L9HRvyh49dyr3RuOsIBfjctcYE5W954krchTjOi2AXYaiY+J4
4zJf+JbH45oHniVmb8vY38qBq5nymGvksbCzPXkc4qR/btapOpRGG9/4mckqCHognjmdMher4Aea
nbT36AZDWAF4fHY4Wh6kkduYHFEmsbQT12d4MHWf7I6YbjzY/Uh7XRcfxyqKbzU4jidTDvW9NfgY
43rtuBdTj+rJduKluXbE1n7qbEQ8b/ZulxUfzLnsImAfOB7zG5W6+We9+NHHsGTZIygz/1fb5HBj
uAfQANjvg8fLajKQLtbSGnXo6KHMIZVKhCbH5isOiEdFxPT7RAa9rBYGseQta1z09xkcSMYsncsS
Uruz7E98LyZUvlTHr0p2cbuDc1UZt7PTxmep03WD0BFFezt2McixSmeZjmB8uurQL6l6Gw2eyLJI
xkdXN82+J6h7N4lYNGHvdExOoD6ZB1W6ek+b1H/oJaseWrzQ/kboITkNjdmc4X/xrOKaTC/uYi8X
xj+wBQ3bGB4oYKcmgI4bvwOZIIWQT+NV3s5i+9lM5+bNFml973cpcXnVrrceqL4x4NiS88ZpWr7R
tk3WIlgK96uSwD+CHnTTrTFG5cmvS3Pfrv48hu3U48HH6P9jXb0edE0rl88eiOGC2FMaWzzd43cI
cCnJb7uDdJHF/iEd1ulhzHo4kL/9ldi/QCDIZvzwR/fZTnsREHB23ng4bRlglanvPZCHQdwADczy
R7iHCJG57i4+0wCe2UhyA8oRhbGA+hUaS92ToRZ88VGk/LfaajlBIoLJWYgxjZGSKzz7NSW5fvGt
6urVrNTjWKj6huYlvzAhzN8xHzowFRi1/ciWNd6jJzsthEwXUo2nRlgaeT9/85LFXE7VbI8Ynn1r
xJMInph5ttbLocfs8CPKdbuPSlNxXBkTxaWu3boKROv5t2Wj14PFyfXTsDr1U+uoZZlTmq1pMKym
124USHfw8qPNVk5R+cnL6EMUMKo8fV8NY300/SKywRpUPmdbPL5amR8/QtfPMRcM6/2a2P1P+7fD
t4VmGXDhK2oIHT0u8dJ9nyuvu4HxUz+3EzkWnDEKuueoPknpNvN2kl5sb69rePFto5Ew/wIECBJ1
2piTxuYdgynie86hgwTo/ll2GIZ0PcJkhQLUwe+HEzsI5x08M75nRl0EZUw2HDFqN+sf0mj6w1S1
yU01tNUDOcTmrYUa9dU1jn+ALWFB3jWXFWTIrI/+CGNwZ6E5J2FRsmnM8OVqHLOyMQ/CTeZz1toE
950l7r+x+UZCTW774ZLEdgHNQZFMgH/WpRdaguSg2gki42xCGu6JmGwtJ6YOXcaRv2kABr+x62Jt
wjRyVitkjs5XxyCZgE+KfDky7yDCG1nVfZcbK0ki+1rd2EO6d0A0HjynhC4wgeR41NyZB5y95Xfy
YsW3a5eN0jLYRb4ZpG08mUM73BcMBt+yuVlAx9g4iBsO/NCxozWsrc7hv4wmJQa4wXNnLvWl8jVk
1cSOKxyzOai4osrb+CD6RN+JquBPyLLalddxf/ow+MWvtmcdJo9LsZ/aPL03SKYwPYFVHbar45x1
zOAJc7dhPqdO5D/OgiiU9DCDkNEaVHZOG7izQQX28NQhBoqNWqWEUN0p2Fx9Y4ajUyYGrWmcXg/l
pED16ju+Gsp4s/CX8wic4dRzIn0mGQpSWDJqYjIMhBEd23JzuYlhMY4BuJR5tyJqQ9kAgTkGbeoy
9TEztZ0NGZ87YafosyCu2H5BxHqeQXZRRhb11h3i1gtzlSVH1Nru56yz6ka3GW8Sg0HEQ2O55kvh
XHsKWJj5huH2AgrFs9o7yZLsS6H66CBMRi0j0FxoVkvckN8o5ld8rIJBdKqgypCZ+Na3XoKhXa35
NTLSiKONtq/f3OH/sHdm23Eb6dJ9InhhRuIWVai5iizO1A0WKZKYgcQ8PP2/0fY5R1L3L3ff940t
2aJqBDIzvogdI5bM3hkwlP/XSvbv5EsdF9iLjm/3/x8x3ZZ4PP8Mqy6J1P/9iT/1K8f8g/iopWoa
MHX7x4ypY/xhW6D1HQ2xTDfMxW74l36lWX/A/bZdV3PY7HJhYAL7K2OqmX8I4AoavXSmxl8nxH+i
X/3szUS94okhqeGstWxHw6X8s5lMd3CkWNkw+FigqTcZonkTsPCtNC0qPSVPxr8peP7Z3vo/j8cD
Yl7DZ/lrZTLb/Sa18ab7FMjAPjHDr34GxT8Nyt91e+r/aLz6SZmzEA1V4uOYT3Fz/qrMkbrXDSOK
SCBpKsctOsmwCISRtmfyK89pEPbnDjb9NgP3sA6r2v2wM0Q2JJ10n4Ooyz2M79oBTj+CSto1Zoqb
J6yfzSzhzEbUxroAUtUOnao35ClnK1g1msOtORnpoOcMmnEgG4zyUwk6w7NFqj1AdiLkYThxpR1b
swaguEBlV008B+zgHPMT+GLpN2LA+yBA2n11RH4/iQKw3y8wHpdBNt/CqGDw2FbM+5k2MGfHj3JN
7Jlqa9TQflfBvOLehciDNwGQzbMg98tMJuI86sVh5uCzgc1lck9SnK2cDdI90MSUakViMRy9BkZ3
ibbU11/QnoBZNfbeCfk+4GygpcUpTsVkP5BTSuWaE0xwmENlPsY0jdyOY3YaI5JzZqD2qzCWL0oe
MRFX9WtizsW2YCc9jVBYYgD2XoWjYWVAyznRHEGRaYf1JCDYhgeCE+5asUXhxfjIfE0Z8V5NzUsM
SdrLRxNoURWXHk5DAXvdubRFkgCqwZUXpZREYqHwLcX12SVO2zTUr1oNvEBX7ijNWQNrbTxIztFW
YNlfZ7m7Z/yM10QaPHxdJ+g94VeRxK5ndQm/iCaGThw42GnRS5M5hVdGjbq2TR5ct3N13Qv1OnSo
eR3DzJVWhG+hnp7zIkzX8LDfB3JmntYQVgZptsWrfqUKci2WdzQ1FjO0Gd0TAwtXgI0+YIKdtBTo
MTUdK9o3yFDDvMXJLzknGVf8WpSw5NpHYucb0Jww37t2a6jJl6rbqZ8G9YvFb/pAXKhb+cIPdMrb
8BDi1VulfbAcGKv7sLa3iBWemPpjFKTb1lBOUVbHviS3s+JMA4y7CqoqPCWGOajrxAyam6q1LrFS
vlCYJGGWgxEyhuyouuOnjSC3Tkd6XVJKPOCHo7u5oVt4fTu4fmcg/80C+FHsMtDpTHHRpyi8GMH4
TpPL8xjqto+zAaucgVvTDhSqjUOAwQ4F1oYZeKWCT013KD5KybmMdsiMPy23dq2/IH7wAoj2sTsk
GTbE7wEWLoq1WiDHhrOCWulxLO5XucpD24OuUFnR9uuaI9GKD/ZKwspdBeUweUqWNciLXKjMjOeH
llocL2ich0HllRZOfuqpFfJMVeIIKUv/v4vrv7O4aga9UL9bWndv9fRW/LS8/vUzfy2uzh80v6iq
AyXBhAv7f15tll3ThkDIXEjgyjaX1MZfi6uh/iEwaUMfXqY/puH84NV2/rANZkYuxX2ED/g//8Fs
yHLAR/w0GyJOAP3VtXgUVbCO/2LVTjUO0inFGdukV8SNozqDs0FqyzfFnCQvIZPIV1jH2Z4WVEam
bsXUwhpNDjtp1e8wS7swC+r23uW4XKyRGt0nkInGiz4UzmWeVfMxtoLmPOiqsZ9QRd/LWDEu1DSO
bB3rcGfnFheRIKU6rSqtNT/ScdY7r6m69sIirD9AKmCmGpOr/pomiYlQ2NmDnmnDmiMCwjFGsdum
MlIMR8t8hF6sfShF6NkySJ7IkzeHmvPpE26C5ExSbhNjG/aE4oKDhcTpkzkVjFFa7pUOC6KVCn1l
JJjPllIfRA8L5YwTTXhxsWNu4yYumYqloJ2rLvUNJjn3KEwOJ52kvXRkc9ZuAOwgAh4/xbZ6wgkm
zyzwymEEpLyxsAVfTL03Fz0rve9btT2XLeaOxLGLS6WbDam4RkMmqPq7rMAp0LeuCrmUMFzaWZeg
qzO4DiPhOvSsV6qp6D1Qih4HiG76il6lN1lm1Dtr8Zgga4M47Nr5zc055OGdkhuOQR3o3BrNbXYy
P6hbnLDs/B6DVH6RvQKEWLR1FZO+TIdXtR3Dp7YPh5eJ2+CDG3TBpzabLNGcemTvsUVAr5lUTpV7
Esh5s+Gwpb7mroXKYGLJkUiwzvgtmarB3KRoD7eF6INTLPLx6BLD9kHREaQ3UUTiNYRFd01AmwYR
viPApxUzg0PEILI4ib7Lv7RpBETTazqhylLj7NSUxcnITQXPrlXdZxOfi1nlKnsV52sak+I6R0wM
lNE2zmkWhutcKdrnMaH/oRFu9+z0SfyEkgWZt1LumLjJY9IP+pcyxnBQ1QRgc9ItlXpJOI1XSOUf
USS+WZYTnGU918vxNjjq0HHW3VAsRsekpBCLRDTOCgao1rln63MXlUJbx3MzHUY2Nze5dLelkpLu
LbTIG5ywP/WVXrzVALd2k24OuzAW0ame5DJxzHw9HIMd6wtwbYoZ7euinN0M7UDpAzS3A5tF6zUy
alv46dwrL4BY46dQZum+SIfhW06O6G0ICItGePHWJT0cR+h9zZryiHVqW9d41Ko7mGng/busf0uM
qnqyRiPa1mVnvMpehuQCewidkwEOG/oHsWozx+O/5o/KS9hwosAJaoZHjtn9anZqeWONMXY1IeVz
wJa+QShRu51ewWPglCvTTUINadCrU4Jh1dTuQgXwHvSN3Lgh04JFAp4CzxdKou71ujY8odc6B5yX
0xpfXnmGzUdcoE30G5q+GuoBOs1HR4PW2js14Xk8lazRUtrnNArj3g8y7GZQErRPYU/wjxkdnHWN
VOV6yCtUC0vvMx+wtASd0TRY2AdbHR7jmnaCrWYLNVth/EqdNbRDaKcIklDeDRoeKmNx4nRFb531
wun8MjPUTQemooAq0KrWWoJtEMsaTl8FW9V4M7MXvLRCq2av5lb8ytCeTS8T8AkfGDjM2ZvYpwZr
hG0U8jpmrn+o6ZQ8tfFYvhAsDAELJ2F3HZW++Ggw9o74tEL9m1lbo+UVsoleUaoWJZA2CLaEBbIA
ded657xOoC0HohyGeMSWYF0I5w5g+RkYHQACGzYyTDntlUG1ii1jSUNjpx0rDMNHNtqtJZ2XjsmE
8N1M1Lfq4h4zymm5aTOk58aIERvOSFuMm07vp24rdHUxWumu8mpHoPNQvUfOT+RpgBdwBs3h+ce6
rFeGqlSXIUuqyB/H1hj9UKfId9UoFCmBvBeATUG2lfex3eO9GcSMCQ4rT/OuIquyV+tsOzrGZNXb
exmpyhFcOVx/Om7qReogwJBU+XSvhimeJIL33StcWhtUdTwUSE/dYMY+ANaIE4rCXFFtrCBlBkG7
b0gyEaUFhf+AP9feg0kjK9Ewdv+qFbt4RolrtsiCUwbWHDOjhzCV3QGpDZ67wW3OQPO/qkmp36zY
vTPHkQnPbIW4CsastDeMhNxDZ3Xjt0n05ICgO9vfzE6laW9xX+9VO3QCJv8ZKSYmeHdBKmZxG6aB
wpjczKHop049wAh1eQG1E7Vb6mVak+PGZA/I/3nySP5lPNLDEz6pAJEq5kvMyfA1MRoakPU+NcGq
YrjD2FL3F6k+x1DrrFDJhvHBxCLitXln7RUFqIVXcyG8SPzDD1OL0IXETItfDiaMnX6E+L8leNBv
A+A4j8CCo3OaW6RyQaVSfFDA6HixnJ7n7BAbPTABMAugMXHAgQeL+KFkPP1MxiE39zGMMrkKANZS
D0UHTrOqyYOf0oIPTjEyrfAUteEJWn2YfVRKj7430nt1KZSeK6YNtOw5KbLuyD1Ue1O1dnom1SX2
VFEiPAbOnHDvLQzsLPzVHDHLsXtlxz9fG5rS6VtL3WHrWJbyWkH5P+oTgSwUVBa9frQYHhXuUziP
yqMq3exqGlAZ1gOsWkQ5Iz8DPQ6Y7pOu/+Sm295QA4BaiFm1fep7c2rXSMzlNyUtwXGS6SMZbEjj
3oqh4XncFZX3gjT77IHyqFV67ArFXOmBYKtA9CV7iyM5y63S98zwYeK4qZfEZV1tEz1XX1qw0Pdl
ocIkjkyRP2OcYbpZT4NzlzCIDjfOgLW17hNgny3jp1s30iDPtIGtN7QkWMMxaHN6fBKOG0MbYWvl
eA9yBdSBlszZO58Vvrh5FPJpaFpWgb5lfTe1+S6tIzpMUqPE2EAgZQkTSbz0Cmh2SuIqRX2SSWp0
KxA2zqmPZpsessBxwl0bA/Q9OaSTJkro7LBdB5HV3qAz8+iDozfxSk+j4CWwxwylY0SsjTPeVfBM
8qlrRvvaDrELxyjmc09qoF9E/el5GxcZQRVmcweWVt4NoFt5zSrmIHh+gis+pKU2jib7xGDUqFYm
KxzfDGtygER02kYrtY7TeZ/GfjKr4PCJ90bMsevkxsYXCXpIFDozOad8UioX84lGnuRi1yPviJul
FYHhkXdImjJmXBGKtzTOjO8IuDyt0E1apsHjwPsbTdHaMZ3wOz7CbGdnnfsUqzFcorlSuPm1+iVF
9zlnkxWMa8XK5m0y0MvHSitT3IUak5k8Ic20LcGWnAJMKMfRbA13hdGhTdZxHDXfmKNzfs/gWnxl
0s0/gy4xDlaghO9zq09U0jSzeyKxcMGHoe6nGXX+v4rsv0X8W/RVIuG/OzZuadqp39pfVdl//NT/
qrKw/Uheo8ASSjcW9N6f5D9b/MGJTcUq9ZcsS/z3/1yFaLXktW0Gc0v8lx/6H/Kf+oeGW0momqmD
yuPA+Z+cHH/OoTuLMroMYbAVcRAlZPkLNsLV495uUA/91kIY82YSoM+49sa/iaH/Kv6qiwlSxyMG
ylDndf3yMA25lmQIC9u3Cax+61VFbCAlhmy+27Tfhgz6tz98Crd/aq8/0j20xQz5oyS7PKKNX1Ko
S7ZfWw7/P2aXXeDa2PcD23e00c0J4lC2vuqUiCIX5M1iTcFdfC86J6EBXNwB8KGcAK7s/K2YDG2r
Vm5yYCRjHLSq13197sDsTNlwBiA+n7Qxlee/eb6/ytXL813k+SWqD/zPWT6oHxio+C/SaRjJw6ZB
mX8M/ZSuCMXyz5TOONiDSE9DSNEManD5UZNH/OhGMTxNYSK3UBbNrxDT5GNBQwhdmnP59funp//z
94Snt0TSNdPA6yf4Pv749KAVqzIhjA0TUprneNYQB2OrNNZOM0THiXQdhH4wD8ds2fypisraEBKc
5DmL3VIN+axPYX4DZO2oaXKvRsp1DIklc4LAc4Rlp09fIWcC9QlMckXYOt87EH3bfKrk3e9fi/mr
VrK81eQZDIEobwr+/fNrEfEM1LszLF92WXTCrSgwNFFAvR6liA5DHeM+zQ3V8pWyGT4KeygDqoUK
Fusib63daLvKtWOX+2qbvYGBQitOObPyl5HsT9NYZ6emDxqyZc+IUAlvKALt93iFQK6Gyau0KtbA
wHpxrda4tDQOYp2hYzHud3JC9QADZ184j1cncN5YrHS2cwArqX/aRHmB4o/S5HeTgDwOmf1cS/iS
AhTX7Gk06h0tuyIQSrtr6EXcjbDwqkiOia647bqkSfbl9+/lP00+eC/JvFlIW5qhGcAHfn4vpUPg
wGomC9+gkd+UFKtQ4TaoJ6HTcmNoX0oyjDfdUhO/on4wyndIH8OXXWX1Oz0y7bkKYb2xxdAdipyz
bO0ooPy8oqA3lkCGvC2jstlBkwvx48p8+nC7QSMKGtADno3Ki2ak4UnOmA9W7CFUbwrV8STSLtm0
na3+zReHO+s/3VO4MpclQSxznn/8/x+uUSlUDEnLRdCgml3gW0Kx560192yW6ltlojm+QqgDvJzN
1xp/5dGQOH2RWYTcobiIRxL00ychOPX77z+Hf3F/FdzLxYJ/sOlxXe4uPzyzLJzyPrMGi/gpWFLG
LF/kUvdmm45raoz+ZrL2L94GpngLvoSuM6rVcLz/+GB4z2m1m5Ymz6lxXlQygctVnNz8/iX9ixvi
T4/yy1WaiSS2m6XGKjXi+FOFKnKauoJtqtkW0+b3j/Uv7gj49FmjWVE5V+u/vH18JRMp9cryKYvQ
j4aSzx8zXt+TWRvqnT423HYL8kuMqlS1uHU5Iax//wT+xVvqmsCTHKaVlskvf3lLlYEgfmRZfgZJ
90kbKrL2wez8zSqsL3/Nj4uiJTQ2DpB4uIUD93B+ncFyyxVTlth+b9V3stFhranTNon76wjJ2Y1v
RkzJxjh8LI6MLsqUm1nLcC7MJfhbgyoet+sI73NUvNrEqrcOFn105LtGl7AuJ06fkqmfp8KbkaQO
wA64c40TtPokSbn6/Vv26/eDlAbeLNZKwhXLvmqBl/zwlUe/BC9h147PeaVckbIGyTRB7pntUvmb
T+ef3jZsbcvCR8YPgR+O0c8PFc2BnjkdUz7O8eEhmAja4l/uj2FdZBsDSsWOt9r9mwdlK/jrVW0T
KAECYy13Vsdie/bz4w5ECPWcUyBe4QEHaVr6RihqbN3j8EKrZG572tjc0fi3p0bz1XGLZDki6m/E
CTROS9GRvQ/RRuHQEWffNlIuDR5GtY1ruc0WgzxF5q+B3ryWPfxgBo8e8W7EkZzpQAWC0HOGcW+l
PYdQjLa3i3l9teQrUPkR2TnOUBKkTuqm1gLrLEqOOGGtnqSuZBuHAb/nBsgLOIuuXQXsBe+X5AK6
w24LOJmVzhT39Lh0N7P9BlHwo1Dn5qbAYE382ApfgPd2N0qV6JshacJ1MCeal1ci9+rGYZJOXaXK
77PkdSLlC9QzLgikjE3/oWduvTUjE1kpbw3zdYx1vHhq/iBlf1uLbcfrjHE0fw9iWmwsSr+YS9Ce
hGIQz16bWfXGqtLUL2JXkiuz8I2DH72YFf5XbbQDsrRJ1fqU8LLm1p3+SWerOOfkvDYxygkxwBS2
H9a4wJ8HJLJ1wCr1jWjz4MdM/GHATZAJ7XtSZuW6reik8YquMymHoqL2SDGIeYW/iRc5JpcJMhGu
4q6k+oxabfDc9gMdsN40mut20t2vaUBWGboHxvOfCbvLp1iHgWMw+fGpn34m4XBo8rHZNEzuzwHT
56cqSQy8iLVFZZIsc/6uDDKNO7uea1TX3J2fxhBZEFsQPUqypky3C/GDpQIjE7HZ/qYeZwgWc2bd
AqfI6SDnY+tqgVQRROEXMpi7BWDR7NRKyCuzaO2lqGT2PMTGFphC2W5iXAu3ZZnLKzE/JvQj+W2k
PL2a1gBhp8csnNurEUzdo9TBIVeUyT3QcCq3EsX9osiK3MJYK3dIZ/GlQ3JcJaqurrUqd3hkW14C
AC1+Ooyg2qABvCmBVu/JQFgXonqkA/j0dnOSt9eoy97r3pnek+UVopkqW0KAt2pobufyQdUYAwgi
6FUwnQPFabbYpId9qaXl9yDQogc4qBryTxezAWc4ANdAOyhONq/btkIncvEXl2NoXZ1qiBBqy3mt
yklb0WpUfFGxNW4UBKVDLuv8prDEZ1RZrwXdMmCRNEokvZrSjGecpiUB9wG1dAJRGhmQCbomAvc5
4Bpj9PZcy+ZZuoS5kXe1+j0rtfYpFKm9y90q37rGVPoyAIDByac5YdWnI8ut7R0pmWzDTC30LWyE
K6w7xZNZF8o55lmhLwb84bS44w477qq8GoA/GrbPnwq3WHlOQdN/GlZ4xJ1OvjlxaTcoVGPE9Rvx
B5Qwuu8hYfr92Cub1BDiJmgouKPVVNwb3fTeCKu8y+rBvqHxTDINh5RhUkG5z3Lrdpaqce2inM+E
qHGxjpqhOyBlDlxUbbSJ3GFA1TbIbZby5CSLAdCAPx5O+D+sYI4eW4YY/Dc5H1W14gWWFIZPFndH
WuAnFogKrLMWJW8Aj7tTj3B2wRWTUWlYDsBUlNwHZdiuowx/oxm/VhETsdAm94KzG7KVCoalhys9
Ylq6kP0GFaGM+ndjSOjgERWNem6kruM0rG51JWfgE3C0szdMuJ6MoGKkCBWqRqYt1pqT3mB67u4I
6x1BNgOOAP2XJg8BLmdesUyvhjpq2BJj/UOdx4xy34SdvhjICCeN7ggSdUWyxhBxU+tUrkB8nnfV
aNxrwbiyClNHWMdn6Djdtphl51PM9U5v7jHSrDXe8vciBk0QF725HaRNObai3pdYbRqiJ+fCYsRH
LWlSeZYqm5d2zrW1rIYigIGsl70XUTgOgGZqOV3P9bHV2hA4tQEeNQ0v3YwE3uqDtqIYdqb/jlo/
T6nqbkW3bAGWvSnMjY3qvSqH4MC2o0QCS9JjaSj9rQKQe7NkCqA6lPLA8Km8M+3qGqUavHiy3m+x
WZdvc62mWy1wYG4BwiL0a8anOKiNF5411ibaqzEFx9kWVW3eRraM3lxNSQ7VIpg7NitnTfCX60K6
u54wzIogPsfBbBJraCj5XhoMoHQ62Qm3peo5I8+8aStu3klcX2vti3JUo/BszEIPosXP3WiRvIUf
Pt3ZYSqOoGWmozM7yZHg/uRTWxk8F7M7vVD8LgEUZNodHaQVRiWTtZBKr61Zt/E3mCD4YE0a4vtK
OPTxqipCJzSmxAhZbiPwNnYarcfUCG9RdlofjkN5opbbOrZ9Y50Co7P8iLncgw6P6prFrbGvm0Gc
TDfsfNVNwnOfC37VuP2lcpIP+pKTB2ZC6ipe6pn5ivpV17yL3Io2RcZ+0WNCwd0FaC/ByEyy758d
e9qTfPANPFuyu7FUQFCNXdwMGUN+muJEuwI7E/hKJ5yzQUTlrp1j68OKq/wFAqEFmt58mgLTWpcR
gTQk835rDX3tMs9uaZww8dgopp0f2rSyuYeZ9cZ0aEWj4xagF2ipe8WCnsTGNHP7DTPaaF8Zjtyo
1K55GbU369nM+eIHLZmH9VjY5j4Je1ApQn0WZuvcCn7ew/GmXAs3yc5zXH3YjQ61FlM1O+CsJmtU
d5elEMNpzC96Bg9hOoe31LXb63Hq03U4RMm+N3ifSbpZq8qgcQU56tyE0id8u2KjFmzqIB8kAgH8
616B1DFobnfTtk34yBHT1oBaxBqkbKgzHsmj+mIabvDk1I52l+etetbbQR6MMBzP4zg2Hw2cp9zr
qyh6GGhCvVVU0/o0RtX9LmKofGkcJ74e8XMaybB1bReMUWM2fRt8/Qb1A6Mxvelu45zyvpkUJmNl
4TPALO5k4RT7qEr6z2wY7Y62AEVikxY9pF5pSM/RYiqUA/YkCbMVsS4t1use+Qc3nx2oW5OaB5bK
rgoeTEn0cqVRyOo1Qx5up8qgC6AJKlvShYXbK2707Km03PEF6FUWYpACSODJCHOVn3RGBCqlTNwL
RZf9Rk+VYW1wGGKOHCjWa1ixBDkyyF5tZqFb11KYjqbE1bxhyN2zC+6ZJ6/ahMTcOTH8XioVFr9K
mW9GgjhsmepG3sgpas5Jn9zBY3nHl/Lc5Wa3iaJJP9RhEGLpn1+o8uOCBmuymqK03nXGTIYwX5Bq
y3KDUwJYllvP1SIR0V6X29VaZqI7ER0EuhJ00cahNe+QY2EMvToPxn0f0cnB7D7JM3fhwZN+g/lA
mm0qkiNWBflU0GfRBR+z6dyJQX+oRf+m0flBrPmblTYvkW6au5wp+7WiT3jXqAXluWrunLJepO06
K+N8XarLwK+cZ/eSq7KGrgbYPs+UTkOK0tknYdU/uxZGH6VJU5oRBNhDU+rdJS3i0PQa27LexqEg
+MlT6G6rwAqvmTveB2Nu7KBVFK/0b88lmTbV2CEtDZ99Qnv1nDvVdhpLwlZSOuSlplB4FsveR0fN
LuKrFkBKp+IjoOhvy5UsCP3UJVCTZNj1mCBfi5JxS611wselQ9I5dA90VUjA7QgunuZSoNk3sdw7
VjE8gQ1h0RGiJxsbh5Zc2eXMmVWlKYhEux1/8TOFnzGJhys/KZSvsI2JzNU8N8ohHQStppABbxwg
DRFR2in1a93Fd2dGiuXFdkkRaBI5W0ZLLbdcszRWGlj1TdG44l4ZCTd5DqLhI4iR8pUDu3pEoii3
NbF9Lu7OpTcE+roZzFcyX6veJfdJQnzejEarMkZWdX8yyFylnZhvlV7t/BH6PNtgRtF7mOzKWY2I
iXlUc6TnjCLpm5rNh0+rJ+gSLSu3XYDNJsazfcxD8Ugf8QHEbvk+d2G8pTk6uicYVN7PFrXWnaQ8
KaYpl0Oda19dV1e/RVbm3nWprp91R8X0CCXl+3Ir/EYTTHTf4aaw+I8paJqEVCrddO4j/VDtg5O6
qbvu2vg7N5bsQkXA+DioU8yYCvT9Rqua4huhwIrXEKW7KBTzKSOjcdHmkDLceiwPQL+MvQzxhMVa
XmK31MPnWHYBfCYo+mQF9eNAI/YxZ8P2nGPVwmBBAnXLnkcCbeyxCIl8dHdV7/QM+Qno3aAM9k9k
e6ePUZnyQ+n2jQsDcWiu1Ic4yClzPe0K9mtHO2vtz0GrdJrrkyK+GnxVr5QBTzCylUHX95bD+ZjG
ekXbpfWSZyziIduAxip2UTEkz02T169VYqqab6gMDryymlUwLeGQPHaaRUxNTJpv5krdUCWQc7AR
Ya7CBeiji2KrBaGbUu76oO49xdDAWU9RfcsymWzA92cGV0kVQrEU05OiFVRAxEoGuUVY60rOtBVV
RXtJnfHqBDRpeqJPu53kJSjUdMrii9+a9mrAMF776UT0xHOVilkHs0vrTsFAs3bqhF1IoKfmqgI1
9qiBWceBBUcMYFFcfc9kMPr93Os3Wp8Tn6NthpMUmLo3ineT18JSitoPNKtdSsHNIb7DD9duswqr
GMHNpb24JBvs1eF0xwtFQpc11IlBBR/Loj5tRwKbu9RQVOMpD4Lmq9cTYBE6ymFx0M3cNlccDJhh
uzjuCEMHmjOt8YLRcsNOWlFuwCFRg6xBAFoIatZLl4/5DlCVcZfNhruLlRgsT96X5J7Y4SdgEmB5
Cp9z5gB2bai4FcxzB34ljd1okxdUaLZlz+bWmYX0p6ae9BPy3lKgHFsMqgSlS541VLCMYGxSn+g2
jxhUKPJU4B8OlcM5TRHj1yxdUoOcvYcDtqb83dLkwhykTWk1scJSwTr05G2cfH6GI918RehAZ3W2
lA9eevXaBUNDMD+Q7YGlkNvAj9XMlginS1PaAgceRY6b3urVE2pYyP28J2u/7o0shmxTypuYbOal
VK3k25/tzQ6p1/ckqVPUdW7czxWuxtQXxnBM2kjAJBoUzCRLKf1rwwR8qRIKXhgpcV31WcxBLy7v
C8zdp6C2wnSjCOM90xGglgposzUZnqBn4jadD2lKBBPrH/6SYlbCO8o0soeReNDGUGV4lJHQbrDW
43hJ6g6TZQcXaTMVc4uTtNJ9qcR1C+6urJ8NOKC7hOXrKUxDSJVCRDYQk4HirHpO0reS7ZI/DGW7
41IN4eR12i1F7wqR7rQFejJSb6ys2rENQImMU9CsLSdilRz7+ZxoGgcDTsPvulWJPepqeNT78bPR
+s+6wQzCEcDLqOvZG5jK1oIg5sak9WBVWkX3VMswPAhXAo4AsfbZU/Ice3MZTxeULVaGnI01dlTd
6bwKgowv67jBaSGVz8Ydlki6Y3w1ujU035eHAFZqDy3Js8iMLN/WexXfeh9ztMenpk5AQSZS7RrN
vmbAiyODzRF8frJqKnFWVL28x8Ce0lUvoEPiw7jto9Y64wjZWLysYA3RqkHRwbBx7Ntq3teDScct
nT0qf4vtQQ8wseA56dZup5HYYEi/Rj1BD+3Q4cItNlPAs2LAxeEYLw0v/SBYhj30xXbPjKv0UZeM
J1anlamQ9PCSYLIuCoaIFXsZvBlZKtZLcXeENffoQs7DTFnJD9pUkNty4P6B5KyrjLj7jWpoQcMW
pKpL0XEdKJq1b9jShh7cOX3w2pEluU31ERf+rGxLtflHl1gJtaLT5YWkRbFRzdrZl44eqh53Ou1e
itr+jpSR0OZFblpdKQlVHVpzlwd1dEuVspe7SkPfi90Z5yDoVm3C93CypzIkMV5OOz7xlhZ23WTo
Kga+sREkk959GRTDecL9Yh/SqZYrvFwa0mxOfpi199AlGFRxuNpYmuPqpdfs5JgTNV+xOZC+PvbD
KqYF3jPphTuPg4D+0qrKBAeGCg+v4Hx1dbD3bYBa9cfacePvYQ3VR2YB9jqLMRoVBMVjDtLkAaL7
fKcAdHhiXl9yJIqDPMB8Vhm+CCHEZHYCsMEsWvEklBjTsMx0ulkLYq1TDA/MbOkTmamylgaNOfVQ
J6sFjlmsTOyFnmuOebwd2EsCqi2BBMaEUlZgY4No7UZmyHZr6r9xGwXlaitW4m7ccmBrH8wQWJlC
i3k1NZXMNxh4u7sWg9ouY3tfcjcV1cCxSyeP6VqDco2zKblUZRkcRJWDkSvrbD0Mln0in17tBkhG
G1HNlF33DWegJrPXpHol8XWSqLlhPJIk9opa/xaX9pubQaC0SnA1Hju+CpoaMDRQG/aqnUjKd4G1
I8Kr3kna+1ZVYYhDPg3ZOW7ShyJydWAUfQTATtfundo0H4jPB3tssrNPCvKeXrD0/1F3ZruRI2mW
fpV5gGGBRiONJDA37fTdJbnk2uOGUMbCfTXuTz8fVV091Q00Bg3MXPRNISsrUxXhQTf+dv5zvsMh
rcYbwEeTBKyTPUy8SelcLHc6Smm8MZboWS0FqKSOfIpVoDIj6Mr7sbT7g6Pqbt/rqtywDPnsvda8
mFFuHKawoDy7dQ89GLUtJrM/HbeVXwT9IeMaU7D2SAeTg1V7WA1aSV2cTKsCrAIi+uDGVMTn+Ggr
nnAZ7Ra5xC8QjvcL+1gJ5/ok2HXt6Pz5aeMyvUTjSJq571qHUCn5ko3BSVqiPwGUo3iqykyj2dCm
5e0s59rA/9g0XVYTeXfIsafA3/CasVquSezmF49qr6U2dn5aPgyJASvFd371nhEdemMSp7kEEt15
uXrqzTaotLqzlu5o1NzvcMrbF6q6r2i/FbuD4lDF6VNlOOZfuONGjiauw9ZYTMj5w3xBAHvNKKyO
QFoELB4CK0kQ+waqOSRUz6hMISa1U/5LdmESZLL9sSzRnRDcKjZRUlXRRlgRfrWaIK/jGs4eR7dP
SURycq1Z0y3uU8q76Uo2WYwe7sUhAUZQmAuyymcwJ9Ipd54g2R2u1wlH+NOPkvKOSzFk9lZWikt7
P+1B3uit6UbZAEHV+asqSvtZNVFJiV6MUR9bLnhre067Y07+AWs8CK+zY5APPgDUdD7bQRjRV8jf
4OvZ1op7ry9epO2CJRgH1LZsHnYZ31tslY3aLZ43+3sWFEgZLUj40LDD56aWwFV7vwKu5Fkn35Hb
yIPF2zgWbrxyGMf5OOBg+wrdkLeim/JItYmo0hcjWVJWjoKM2FeUhBzEwiHUZDYw4y8q4X4SRJmC
we77afbkR64jT6yzyY3R5rgecEl6lzvDEizZhPEags5mVljp+oj3oTJZIXCe+gq3a5vc0nHInntY
E1HAuVEeZLqgaY5h6eADSZT7WWP9/Jory/mVEa/YtLbfF5sRlgtVt4SYIUjl+wXvW0Bhu+iOhLhp
qcd1x1onGrgtwtY0njyj/UAoxmYJ+IsVZueeXeWg4UM6BCQIsnohg2FiUceHcJWpddJF/RWbOXQs
NV4d3u9RVV6lEV102hnPthhhKdH2FT05DCT3PHHxZ9ikDTfiZjPqyIRIAVrYoWo+mq2aSqQmYbs0
QxJM/QPolx9DNNycZvog4zYRGwsZM9JFNqcJwmLkRd3BLtvqwZfY/1TLg14kiI200K8mG9HfeHeX
vCEzVLI0r4sd1wBuqp1hT7AulqH4vYCiCciS6ICx51SSqYFJFHJnsgcTl4liK1X7enz2KbJ7jfqa
QrJEIlLnTvOQYmAAg3JPeRZNUpMrtsKLESk05UUf3BcKc4crrdm6GVVjQyW7H4lIgR609CZelk6b
FNqB4WfwTVgLNx0v3aKPOPLiAK837OLIP86m6LcmVx1AcFlRPZh56Tw3UC4ZtNBPExNaL0TkTx0Z
4jAPnLhoq9N9Ujkt9IFp+Zhdbm1FwCoLZUPxsFxVW3yMo5BP0SLCaK87Of+ozQQuA9Pxve136mMm
HID4xVqPkWhxgL7Nvnk/5YaJkdnlY8APRmsd5WrhVSIN/eRuyi1kScOHZKDlKuj4/PgkjdgVu9AR
+StXuGSr2/aQzVYwFsK82L7BvkAP2WvRNce2r0cyQuNbp4uGTzB6ZYF8qIXnHnN2Sbt+aXVgztBX
t07roHGnxlVGrBQ5V5LXjtI9HCM1N5OBB414odn+KZfkoW7cFfU5H1yr3ZZjDjCUIj3YrnYWELxB
gSehEFvU1WmcNv3Gtupo78+FxR0fN4za2k7ylwWeosbUWI/Hgvvnh0kt3568W7Ny8ZpfIFVNfFAW
D8hIPRruVIAqz7kDJmfNdVG6F2bcGpbFvXNjr3i1JgWdk/qJgdpSm2KIclxRQaWKnuIme+hcQsN6
qJMzmxNWDlaR06nj58W2NfsVOF6My22ZkpI+XDFqIk2edQSpDaoash7rBPj2Hymn4s9FtCIoMdc8
kwgb0ImnOrk4i80Rhif9sctYmw1WyEWusoxLTiaBK1NT2aeWmBZdns6YPYzMMedhDqHe9RrKPWGa
adabJa/4snemRRdvx0ceGFb/lmmc1R5m/R2JBcrLPJEy1lkn5da8BsfYOTiaCQrwa2fdc4OrNnHL
VnHYguJ6gmet08T4XcFVDVqXPoBsnXjHxUpu+PWqBwncg2wtcIp0WdSRr5J89JGD3uzYcndAfIHO
DUvJfQ9btLVoK3AIXgQALji3Siu7w+e0AgUHZuewGS+cuFNAc4a37zmlD4ro7mau2nUz1oTiPUdu
OOPXhvYELgXCrVS3HsQtOObK+QmIiYwCqh4vjyydJKQOx9jEVDkGedyPWzQkuTXBC0MFMrqPNomd
Z8Hz+RTXgkcpksA67KW6OVi1oKjCCeTNAw2fQxaBarBPZmNmqCnZnGy9zCFqh0/+0GvVvTchZ11l
Shb65DhAEM9myu+4MPqYwuRSsFmK3E6DE49/2vhoPx2g+dfZgt3LOtEILIyKlCNLJ/BcooCWGSk+
qbwK0lLOl9ig9I9TfOBPZ6wa78sYjc/Sm39HA218ji8feaBQ61GTAohD6WNsiKLf9rjEuTnYcTE9
+Aura3C8o+4PFYdnHMStHo481g3jo0QyHQsvPom1LNBtTD2vL6LB3FZ+Pk8Qd10XywD27HIQ4dFx
i/anFY0bieYeurK7NkYxn0pzcoMsM4Y26MYU+0zcJeFThFj0zNOVvGdlLT5GS4JkdnW0iwwn2odV
uFxVWeVBQ0EHC9R5YO2cC0IEkdW9ZouFMOUV9K+ki/BOcQtlCdtY9NuPFm9bh2a289UyPzc+/YUl
RJE9b4t8p9yWjurJBPO5gKZi/SK+b8l9MMmyudCyCAcmojzKmSNxMjofMDfvENKLuTfvtT0sDwgt
3WmJM+Mrg67zJjWDdskl6aiNWKPDuvFhStJkLzq1y62p/2X4MEWSEbwMkKJR5QEksDv41NMjT2TO
SG23nzCg05/Spy2gjaPl2XWtAWY3952aslwymrmxRTXe4G/kPzNUkpcZCEofsNzwpsAcOv0spkI/
2FnVOA8maLxzNwuCSI4x9jvStsmxSaBLdktmPs4y9rhJqkIcfRHnu1p1eFTWUITrp+5LOEjrIa4r
BhHhItoAeOT7zFevjjRLTG/JX+O2wEJiYKFadHVvVMarWxpgiVq6ZGqjudG5G8I0mpJ1qiVuZyfJ
m0lNKd3YETioKRtuEJyrbZo+jUite8tO+4+sUvrREXL6MMK428Fy6i+ySrwA8EL/wbHyobJc3hNV
Yj4Yi+wBvKh1KXNtHvIoLh4jKPNB6AzZL6pD9b4hyxu0BXE2i1XBOcRgdeRumERBU1sdQSrXdk65
q5vD0HrLZwG1grTpvFg/C2kwj+kadljOnHxJEyfaliBGwEGUYPMUZSZRTXkJdAisESX1P4OM6lNR
K3Qf1R1a6fbnGg4ezUZCfDh+Tj+zx68KDEZSiCfE1uQyLND90WxTfqo77avazE4R5KHH2m30riBX
vQWy6V16gaSRln/gBOzVxDsjB3h+YIym/HaWNiG/NDYDuAjlsVGoxsqLPr04/oVL6beH2kpOy90n
odhPLha1hnKNQ91UvzOVVRtfrQj/Nt8UMxz5DNQcsKi7qI3uRoIjU8+xMy1w/HIWQ4aYTfbGULE7
yNrCpmzbFad8qJ9nLY44hgLXHOLjTK4pcGgV3tAlxRQ4TiyyPDqY60Kbm8gyjovZnHNpU28w39kN
6vcsFBshfuRRe1O6t7sIP3K9JFwmoU/9cOu53Rsg6e498KfPFBSpF6fkxlgtcCVUUYnD/1wqk7mR
1f0Obn70ZcSxfc8V2NwvXpQdSp3o129z3v9rIPV/o6K3f9CisY7+53yec/zVZvFX+euf8yD/9G/+
PRHiuX/zHQ/bogsb2sTUjrX174kQT661b6TJCSV+MwH+LQ/i/M3yMOr5AGY84iQOVsF/5EHE33wX
My7Zfxg0jlL/pTyI+x86FF2+p9Jj+wzOhl+jA9jg35sOTRLTNFvMy6EQ9tIGeU9tMgs47oZYKpye
Oc8J1TvEODNnCFZJt6t15oFgmVvMbwAW7ZU8h2YymqMv2ZR1zr7LKXD2pn7lmcXdDQoGdiFR0c0L
zxTa4Jwnxxirz4VfUEG5GHzI0QdrfD87FCzdqcpsLzXXsQS7UB/hVFMyTrY5dJwYpcyl2ooS0PyG
4EWt2VLMpKKQ9aW1mxoG3EPlxgv9GRCW+cpEDoA5MnLe0fTxuBxhlaS3oXeaI6tCl6XoVH445Cj8
oA8F2GK98kw8TdhZRbJ/AVED0QOhGV8ss394wLnrpoExEhOgvq6QmIzUADVbNvSgEzWwK+bxMHlI
OoEVPIsbu9hGbr2wtctgrGxCkpvEAL0sdI8pLnvzaLOfKgn121Q9cBclnMl63/gBatr3sb/MyV0V
gkFrKIO705aJD4IGYhdAP/u8Zevlc1eSX6CSC+MKZklyfqEHjr/qP3MrGwmX9l3121oMOttwVRjk
feuaN24yo0qyT8NH5mtyply2541TT9mRErPx0VgM2D+yLX7KImY2zEgk5juQAMaHbuzZ2KJL8AK0
OUIfDcsJ661FnxAvZT0sEeSTIX+pZD6gboNLaAMbo14FSs8Tf1Rt+jk8YZF/Lm4nw31PJo9Bd815
JkmbyCDGh4jV3s0WXBuh4V8Evoa9qAFPW61egbxG/RgPbXuUXdXc4tQzHxri/wbjT1qM2xxL9I7R
s/4ydTc9mENKmHFuuL5VtQvvp+2sNZmELWeilEUn3gA8eobo01EpuK8cMe/jKMONN2MFNKPSP2pW
8m9TXSXv+EwZDeTijfAvPO+jCLvlWVTT9FhGpObtDmhkJvzxmgqPBrQMUxGKQ3ZPsJGGQH7Wwc3R
jkKBFKJ15zF+l+aKS6ZmZqFrZkacuTf6iH1p2IZn8svV0Spif19KVQLgi4u3VsD7ZZf/qiToVVNB
PNA+fovhMpBYlBu/SGZkpDG7+QPKTbKSi8be9LaJl+hLE7bmNuyS+bWmICpQfT+dZYetLXaXIWig
JM04q1ufthObzz+zwuhROGJ5ktYAWLVMpyvPujxg1qQfImZf8sdj4/DEXGpt094Rz0s0Lm9AtdUx
d1fdakwbl8K3qS7fcuiR7zaL4beMS+qfPm7TN5cdAAmD/mhzHbmmZpiMgc469ThbRfPZsOx+Kgtb
fI1+SPkd0RH/2Up6JI44T0zKUXqHECdnCrWE5GZ3LH2WbSSV9TUuZG43taHtV8uiQ8we8ox47FD8
NdHfcPVaqX6ksaF3ceGE0ZZk3HCTnguTumYvlMAd/OXqEIWpInGPZmg48zV1S3yevpnWf6wEe+36
ILzIxV3+xO441ltvNPPXpTHdp7mYVrCuMWymmKhv4Dpi5PeJvMzF2BOfUkaxgRA8lc7Wz/MQrBJz
0swZcQunJPpdxNkEiGqY5ncyYXm30RzNR0m1fYRjJ5R/sraCo6mx8RJ1zSycwn4J2bzvKZ/Brhvd
2iIqv1Rr8+1n64r0CRHm0eSCayEMlS3+C2+6c6yog/G7rIaFuuMagd8M2YHlsOWZLbtVnoG2naEF
2hZwR5u81nkxAaxs27xVYlsKCBiY6Bwq6ua4p11X5uMGWyEIeoWfMvA6S98iK8eHXsGI2LB4089p
ilqmFGqYiZn0IlUe3qKcCsQQpfuMNTz8YYz62ayL6Q50wsi6HPLEE05WmhSrtVQR2r1FnExG/QlC
FNkDYdAwhfdK3qm1lDGnMg3TzVrVmDmUNvoWXQOcD2uXI/VGy9OodDQeraTrnkFm5i8xztAfVkoV
5DBE7gU9zER+SsdzYvvqLreG4pxkfQF9tUd4ydZyyaKckViryTmDTTdoZ2DXWWyA0FGw3OlO0QGY
NLjFqAlo7vkqWK9qrbKMGkotrW5QZ1C+xdfEQvYLiHB/aKD8JptRUokpus4FopxYL4NIPKB2RAW9
JvYYR9v6J76l8cuvU0o2I+l0XpB9l28uw9geFRYNbCzf9Zyi/BPqqqUtlGnjCIsWlmojjXlrkUw6
deFU3aUjfZ/V2vw5zABCWL/SB9qtzaDx2hFquDZ1oe13dWjyXSPq1X7z4MccL5uGRB9Fo+MwfhHz
D7FtoT7d4rWTVA5rPan4riqtPJvaUugD5X24dpmWPRJ2C5ODN3ur26fyu/ZUV5jIEN4pQ800rzoA
r2jU9LBmD1rTm+rGNKjGDktzyCWp9QvaQKg3iDcj876UycX/LmG1WK++KjdP3nhng/1qvwtb3bW7
FU+Dc8lpMTr4yvFf/ZhlkXBb4NIs/6MyyKx+1ZLWQthk0OULd2D8Uk1HY+xCKN6+xIRF37maqGkL
BPmUaIXNDWtrdR403bNIedZtMumjtf0424eajlqxttUu+JUel1LzgfgcuhvD7bp3qriIbaH7vFOO
pAho0H+rFw92J0yzmx829p3bStqOZqXVe2e1aHzdKBmH4FE44QlHt7pP1p7dPGyy92rt3mVgo4Y3
bMoeNLL28zt/7r1PGrBp7E3Uh2nn9YHisWlLio3HeW349dvafmGflJ2AMFFXA1Gc6poSI/pryk24
3NVrt028ttyUkTm+Wd/VNynW+gs8An8Xd4tpblAgpqOFRn7GSNCf5pkOHavDzBmGxj7B50cLYkoH
EYXqw48ZH26K+ISDBXZ19unhkP/GxnrUCZnw5f5e4CPM4Xfo0OrTgzFoGYx25tr4I6T+KtcOoHFt
EO7XXiBBQZC9NgWNqJdi7Q5q7bw9DDhso4074OZc0sExD5OhKU2r8ih/TnhM3puJRqIkHJZjMhpD
sSPzmNys7/Ki3liLjCiE76IdpGX7w9fd/FfNoiVBakvgwI05DZ28fkLd06tQhzGlugw67PlcaP3A
y4l09bDwdE/xUNKokQ/RB6s8E8lxD2FqiWCJ++wRRxIaqr+S16vZMB4VMPZ8pbJHK589+Ua1Vyu1
vbfHHrLDinKvV6p7jYn3pVtJ7+nKfE+rqN0TrQBrmwzyZbRPIR/5fgF0x2XTudeFad7h4bN3Y9FS
LeZjLnXLuDihaINXh0H8qL2uBo4oHtwiEQ+KUXnTtOb4FK6I+myF1Wff3PpO8I5lhbPy7N1mdLfD
CrnvV9y9mKb2LsKKlO0Mjc34WFASco91cuX3cZ15c74B+ss3TN+aS0Nd2B504OyBIW3lBHkfWQFJ
gaXmrXZHK93KnikRv1mZ4/A1UEs3DmjT1xSSzMM4z/EjmiG2CYoNZskhNi1nrx2aD62EemUjOd+p
3EUzo6NUvWliIU8cdsJG6jbjT77A5h4vb8kI/V02sNYOuGsBQQ3ah5qCtZbAX2rvbAHs/+OroUD5
J+WMS5x581Riek1Yx6wlBzbSpXmkAhLev5Y6xolZy3KfTLT+bXsQNVz4YfoD1zWhegddFGH46LWb
7FxPOhZLSNv4wimtn0u6GCV2eooWa8S6K9Cv/rPChY2paZjLe2zWqC2e6gLcMIw4Mxufq6dV/kmZ
ITc0Gk7T4qrL2CQ90rAL2ToxhcZ4xEJCW2BRWA2ZZYzbeaqFzaTJowyiy/LfQ7fnojO4IRn6DM62
hALZaGhcuW1k27qcWSOrRbxrbdjRoVOmh4FrHAmCWFHyStyjmJ+Kqp37vZ0SUtetTYto3RTtvA/N
Dj6o6bL52uYRD8e1kyvfJc8rsCoebBNeerk/8q6ab3xn8FfLQk/ED9nDwsopWHjArmMDf5kIdb5z
LDk3RYiYdFfoX8ph7p6nOdMZ09TyPi6Ra2BiJ4nM8Zt2Qcuuj7hXo9CP/r+IH/fJT9hC1Z/uf62y
ys8KnSbhRPjGAP6f//bfSSJxVsjuf66O/Ev5K26//sdj+/Xrt47/nUTy/W/+qzpi/w19w8ea7MDP
IWj9b+qIq/hfKLZXBD7/IYL8Ky9D+H8TilA/mSyXPRoBzX8wjK2/KYuyLJ8fB4HC9P8rsAyxYir+
OT+7/l8wIYq104sY6H+MWUPKMAbRp92+7SOm0bj3vJfFNUp8AZWvrjY7Mb01RNXsEfWrvW12KRbU
yPm/REPhyqzp1n/+lfDLIN0BXcyBikAK+z8ANUxnUIkx+9auElq/Zd7c0+Dth6chKiy8K4l/Nykq
uYllFSGbIwo7jh7BGVKLwPf4W8memivkarosf8CCh/G1su1ZNlKdXESh82h2c3haLG1tZ9/vH2KC
XbgcKU7f2Y1hPcW6ZaaEeEezLG89A9dKF0xRTuajzTAvOO68KyGzBrHZjx9wL1xr3ymsFCkXwIsi
mzNTJImdDewvy6GxxzPSQgn6AuzElSW1H4pEGkdwUsQHFva6X6Zj5vcOUyVEqybveZvSBzFx5CWs
oP+SsuO4INX4gsUZxWeWSPzZCMAuz2jpIbcAxBcN5K/O9fSpZ6d3je0O5HIl4LvHXr+GkbrHSMkQ
35RFgRKQnRy/7pTAti9AG73ONgGDTWrDYLJToT4EekxQKdN6jUc8gH2dUaRSyhArn7Sw/UbGnn+E
IQNQ87Ya4/aoifDfUbg1ngagL3juKB2Zo3nb2E1/oX6VNCMZnF3NDgXqWWPRJIxKu58ZwXdhZ8+7
iIXQi9OY9dZPVvZGhNk7L0fnAw9ruGtn3e5ka/LO0XLht9Y8LmsVQqGM8R4cWfrSj5PxPo7NsE+d
Fv67/a0dWcmuqeCqyaUdfjVFige/yMonG3wcWDtl9PdjXbRMh9LeCmXt9cRqPW6OXmlcuIKofTQZ
aj+Y7pXQQ4zAk+FPXczkYBUlOHp23MjO6BwZFbMbrVW9tWMq7VVsbMtwgXOSFjvNciPvE7XBKcZe
vtfllqkkOUpM+VsocM1DnWXdB779Dr0ax9MSUV7EuGD85S5UN3hDOT8UzFNbf+R54sbDWrvX2a6W
ulj/Sv2KWpKp41RH74tlWKtiP8z3kY0mmNMe9mROUjz2xTBdzdpY2IIM03ZcalbgfnlNVmduXPTL
oY667inPHQb09dJoU6ewaxaDjgZJE8+gluSRRSfGEVxHO2klMAUwBpKuoV7AiWm8b0vTCga3q7m2
1vVbXkrJnyYTXwnnaVfSXyApMN2J0S9eQhsjtzu3LktJfnofN+o4TP4C+XqyTxUXvUMJOHAnyxk4
QUUxDVOL7+/ayPSCaUKDaynGpZ2A6TtDsZ0OroOFkjBv6+x7wHi0fiIoPwDxUFujnlwJ4mQu6CvJ
5XmOWQv3clLXhOa4G0MCM4J+mOqFZrGhWhPfNvCAHBHOHpS4j7z46nPIoBPYVzCibI+ZAyKzxIYq
ZPKThXT8p4gm1nKEzwPhL+HdLEaTaUY2IGqFf5R9rs7tMNT3JQrSaQHKyGrDVVcW7GbQ9A6iQGnL
L6v2krNKgbF0Y9//ZLhvbpzMEOLcqv1hNbgOhJsSwo5UEQc14T5ayexIZSck72Di4Wcv5Pb9fHAW
RtNtHKXFzEqr6fdhnGHeIOlREx40x3Lbt6xWeop/tzH92HtyZOiRAANRucMohsHdut3WakyJW78f
ZMd9ZFRsf8I3CcHlSlVytQSW41dYOeN8newTq3M+C+H1T3Rc0JJimbp907j80QlDmu27Frqeo8hr
y5hO69aZDxr0xXmci/izFuUAOTtiGweFlmvHJH0qp+m4xy6BOU3exUyqZ9dGmNnJ2v89s8qKIJSU
zW6kFe/s5dr5sBN/zUBXhQ2BSWIO81x1KFm0LRsfm/OfpKIAiJbgtvvjag9cNeu4j4L02rFW1bWM
Da5KoyboY4oN90xsSWUC97IGp06DjvI7vv+L/Zm7mWIHFUfVh120+clPuSb45uiewpHN5VwU5M6s
cMy3BgYfyBJNmD8K9ANxKMLRnk4qnQf/ri5Ckf3Gaqr7m4Av+MzWVE77rjbqL81X4SsMrfKtymMD
nowizxFWvKB3AlMz395lfK1Tu0XnbkL7LRqGjwz/7wWFagrJZs5toNS4YBzoUA/NRI4SDZTnP6pb
eQPFXcC+KKnynZJZAa+1nBuvQu2dRgrZ0qdOa0reSMg9923DSCD6SW0lMRPnAc9X8ycqNBn+OHHV
e0kC7+cMOuWE4O4cZtBbF5AV3m+/cLl/hJaZHg1PkOFM7YlQCqGFZ25U6r5cCVZZRlHvIJBAbG00
6gbbqvksbNXcbE7rZ7z0zTEFoLiPdGThcsxiT2Hl9aZ7uYTyiPknAkjM7DLaIWjIYXTfNCOwd9VE
aNPzkN2gKXuX1EoRrW2K8UwcsHVACKoxERPa5HN00h7rVg0FF4p/1MkdV3vnhyJzVF5TuruqXZfA
m6YoyDN3uViDMBgRxJMg3stxa2AKGp3xI29r8SqNUT4T+irOvtDO3pJTdQ3BJb2WKHSE7HXGxWLg
RzBrjdz5yhaZdMJc1lRWdxGu7QVMaQahbas6CBKrQTku1W+Kcay9NxAMDKwoHF5b2rtBxqe0YW5U
mU0Pc1ZQGgDnzJKbJR4KipQLAAup4C5Nx88JeQxavEvwkFtL/B6hNt+7EmIrS1McSAWoZnYkVrAM
vD8L1roG8eITXpHlCuARg3Lja3ztJtXXQ+QdpikFq1YWGaVfAWivbrqQxkds2eRjbxEunZbxrKs0
PjPOAJ63BDXtjA3qxdZryyIKbTke8B2Ix6zhvjLCiEJcwQsQpK1sUZeavZPOyaHtV2ZL4dCGmpvu
ZYz0vIsrmFvQcFv9UYcKg3bqzHhVrG4PRzfidSTZIjRsSSpKaQ5htUTXgWv2vrN5Rm0KZu6UsdKq
IjoN8CrU9u/YPE1t+aHM/it0XGTn7Gy5H+0wSivIB9AYNpLKX8yXSIaC3dG2JCz7btBl9gj1P93J
DA1um7MTfagMXpaH2exVutWZf/CMLN1GNI8faCGyj7SEKLYbibcFTzo0DxV3p8BzegHnCgvyFJpi
fiQpYBErqxbnXvnF8Bg7sQFTTubpJSGt9jL0IVbi3DQPOMjzU6qdlLBELPUOF9b8e8CP5gZRRbjL
66iXLzGzJ1s/1a4EKSHppsRaWBW7qvBAmU2lNtMQVx4lFniKsFh6ekpIg9ejxoZVREdnQmRZqrbe
Kwzad9CEzYd0dBvavfrsbaIu0DpjAjW26Uh7x9HHu5UfUy8FjG15yNBicY78lsdA4QY+DnIQf/U6
ko/2aGnmaj2bz5w2scOD2/esWibKOtou3BVDOJyzyIfY4O0R0PIdQ099iIAK340OkpPV58bXMoad
PgyqM2hDZH0oDf9KajoGLbFY+e+e5rVrxqnI27+DSdJONreHno3XFrN4eY+CyvRGXvENg6X/yAuO
xBfq0cXH/Lg3bYsrPhtIKkmq8A+I2XxHu5N7nZxkDVy4/Zr0dwWnaG28GYooJhAT1AeUMbrV8Mfh
8sKIegOZgkA1dZZ8QPvzg8Rfpi8I2nSZc4ofrMgA+9Kx4QFbm1Nhrn+3Ni30KjIxp5K94s0ZhQyd
C32wYiTAxlCQjPIi+RPapXPm7gZcv5BFXHuneNGQaG+o5EtC936tBnkTfQvBXXV7nQEGBkSnWaZx
ublbY1AXlbVsrpSV90dA1gxuuLtPpu3MT/aE+dbOS4gY+auyit8Q+67d4AGiEHEWNFNm7lnjjicD
9V605NgrFte0g3TLNW+a4ucwt/21YvradEwBd/GSxUfMKuPZFX9laOtd1wFflxmC4jQfJf1Q3KWw
y8/xXOwFLySq0r8RGEkEj5/yvYDQAv0hJ/ag55WUSinvJVsSdR+5kbiQ8W03aIUj5tHaqbe5GAxG
xuKXNzaR2OhhfMFGzRBdRlWgPHC+K9R1iz6dPUXQs09hi43f63r7yRaFdx7Meth1AuccdOzkgEU2
vfSzC+5GVq1gBAXXw2OIPkiCb2dMJD0qKOFhrtQBV/iZBBfh1XG1HR9Md+CZngNw7KR9CP+ew0Ig
+VrpdGlZ22yRrPHALBXKsnALsU/RqwkYE5AKiqy1oRJPRztho28yQyz24AWOhd4IxCM/hUvB+Ufz
2ZsIAcrAf5iNXaVj4xJHjf9hOrV9ALcs3snz2oHfRPm5nhaEVkNE9znZqZ2DqozVM7V+eFgp3vE7
1Tcm4JT9SUIYtQzXGG9t3ASuglu2NBlnpQPkEHs3RHggE/cxxPKdydD2E8YMV2hRU/Rld9UvdHEH
8kF3Bw75AofJ2c5m+Jc58e77rs3OHPgZxkuTspiw5kFtahjVR2PO3dNk9f49LgT/2aNXaVuyVCIu
zAA7uKXcaSk84g81vagltBfIQ4rsbyxtbpFmcUuHKWNOKNsvuttsCPsyDGyu+CctreOULcaZoupi
V4qxe1hdf2fXz25OFQeOB5PQstuHynpvzOm+z0xyKN7e6tRnFo/XkhjRMYunZ89P94TXb3PRHsNM
rK8lBRpFrPa3on1vI/+jKMjQDslXi7AR5G3WEF8o41s69cURJzcH+yjLOzsbLZ5jstK+l108Jy4A
XtrLhYQ3xYwOHbhF5h1s2iNXi0J+DM0yOY1dHh3k0D+bssT9MZeYRXMueLD2m4yHo1Kn/83dee3W
rmzX9ofMjapiKj565qAwFZekF0JLS2LOqcivd5vevgfHxoUBP/jhXhxg4wArS5zFGn303jorTO+w
xEX2ZVOPepOR8F3WOEY8dtickUpYB5za9sbtc7GPqCEkMENxwBUQtbUIbWIWZNKHZZH6N0mE6Vob
n9ZuPR7bPMv3iX+UQ3yWhTosdtFsa5m4L4Tl+xvh+PYLXdc1Zy7wpK2rZl6MWVEU3ioLZz2sNVv0
3UL8/dWagnyjbUaUxYPahHmmPseVGJ9qv7hkriBU7PLzRw8jeHrqi+a7ZDF1W2QzJdGRJoTMAX8S
NQE9gjc7JKb6eLWerBtchxuVtfPtouSI01SJL5t/H/bZIaOGvTTO22Dp5jimWl/MULrotyPbXp8Y
bJTjomV3ssNgB8MGXRtj8ZvtWeIRcw1JO2UCZGDh+oqEn9fuelr19lNSXsENgi89OQ8CrVT4TITa
iP7hiidA42y82puIVZBCHW3q7cgrm0V+OyD0aQH2T0HwZES2SWL7Mifwpfvk9xQN3zOrA3sl6oqL
uGpIOLpe1Bw6SdqI16a1ntyc5IWyxLayiuluyEbJlG0lB95ch4xGCulDBKe+fsI1R/CkOJAK5APl
F1vett/epO6s0g32nU/ZrCXPLju7FXetXTOO74OaIiJbNvuzhtfBU0ujIw1E8ftgq2XdVtarnQTu
PX1n/afl2nAhCXyWGdcWnwHiaDdMY1xRrCcT2LeVDVciJcHoV7V306irCcZVbxzgNKOIxn21CQ/h
g/TmDdnz18L3QMV6ul0vbbzjDr1u62w9V/33IK4tDLyaV4FPtjsjgUbRqfeT+Vja4+RYgHONp+K5
8RKulxickmaMWOfatMiENaK/vc/L+c2q4Y7q2cq2CWxy9hxQbZ4Ysrtd7iS3aTgm+0D2l2vt4pYN
bHxhpfCSVsG89g25BJkL7osSxQgSLtD6LtmZJsEPk6gcKU86d4Y8AQ4mKmCyNg03LsRg1Ymth8Gp
XbtyPDnZjRWIcz0lOMaq8mlIi2ug+BQGHRnwbrjzaGltN90wgCqoZPEcNZV5I7l6SpcOfA0DB5h2
c4BAavZ9nSg4EWaujklPxs0i43S0ZKwOGbHgS7OM0UeUScxKvv3JyP9st/l6umD9GGTzx0fnep4S
xj+ig+ExRhnalma8sUioUzbjLTuM3frgqDxlNhnuowK5ZRiq+tUGx37IUty+q4Rg9VbWFNOV/dhu
mprCS+WjmDE2hDvSWt7TEk8JZWWLua0Wx6BlKq850vI+bFq4IZsyMDfWlUkRTKnhGyUinDghOyTl
z8GKTFjyMlL1c8dztlXDfDN7oL2g2i8Y4gSq13FJSfzxa6kp7xzrCEQu2Va2mDf8mf4X7AEArAGp
oTB9IqUd7+nTrvdtUGevFm0bm8ZtLwO+CEj2YICyxgs3pLDJvfGe55484sGKofIoMO6eYN1J48x2
XnyH1Y/FhnupMSM10/TuVtSbzJziR4899C2lQUB2xthCIs4z0jDIN9yWJ2NrePM1ln50odrfEFvJ
NqGNCBWXMQpV4/7xkbowwMzqUnqpeYAe2Ehaw9DDA+FPKKlmB/0i+kUaKLvpdFWesFKZetuxNyI8
GnZ0I4cUz+zp7s0+2nTqKSu23V3FTZMLVTbgUOSNnCyCBrfWx0nMuTDnklihP0Y3ozefSze1XkNF
xCqtGT22nSXlc+BiJGOblcFYzOmKvTEdVzJWkfJA7ESccSDjFmG/R/TEzJ5/54M1O4dR1xz4JfZW
4E25YZZXr0mQu0cc9M1PF9dcHUOnu5koxNiXli0eACxF95ZX2fsGO9UeLgcXIOk1chslA2/esS7c
G0zxWJ+yNaVSql2lqBQ3Qeuqp6FQ0Yn1sXrm4C/vB5yW+5FwUrkSbdPsFWjhZmdEoVzAOjXm+rip
efWxoJ2dBh+021DnDuNOxZ/a47xYJURvXpTUt0MAyNhntUppeYXRwjjfIQD238Kmv3xDP3H4J8yT
AvNU+Z4GLm6SrH1QQ/esAlKV41XwGpbpgBWl3mXcnc/GCB5XF+FLe+V4MNZSftYUrR907aTrOgrF
dqx6niLkQTJ52XIRwwgXTeQ0dYDFRDbLVM9Hy0Gg83CFXvN0VZLWd5rs/LpujL/v4/5lnGNaalX7
K5Esa1sKWPeZcr27pY+Sx9nqmg8n0hZYoNCf9rY7ONQbOna8gv27h2PwHMdBcCQyynWHFiJPD2cS
ECkHnklPs/J/Eq7/Kxsg4SZDguIkMCBtxkEHz5Qh8DLpSFXCXQEz7S3hZfCXixd5wUPsk22QY04d
VK++yphahNZN7FtTcDduSRYSXJytzxE48jasgo+gl/oABQ0eHM7f9Uwog8ODmDErojylxFjJA29d
RmN1Srg1vaS5BJkoefxIyJFvN9o6MNiB32jzhz7xrJVhMbUj7XcjuahjFhj39oIquR3JLB0hXlp3
rN8DRAznOa5x9pZZwXqlzdJVTEZ7M6gUCb/lH5/XazwE9xTAixuJi5WstZue8MowFGdZgDJEXQm1
NI9SYV7CEwaOgNzfSYXB02z6qxOnfBJ8iFbCnXYtlOat6TGc5undjB+FoEENUVfBXlgtmfT9tUvd
NGXjbb9T3HA4C5FGQciRy4pWEzibc0DG8QqWbB0eZtD1fIA4kCXumJc5sLw/leujWlZxAPetBccY
uN2x4jHczLomzjAvWU26vkxv+7gLL+2yLKe59/QtyLZ8ndXpixt5Dx7kxN3gBJ/k9c+5iW40avfe
cTHhtrP9EHAvOifxsKbKa5MU7es8pG/uWCG0dnW8bip/ZWUPoBjjzcKC5allQY41GSe0Lar2zJ6e
5ovIi19dlXpAbSauNKYDOtrqDYFJf9PEtYPZoLb2RR9AVHgw7Jpur2iz07Wy/LPAuByuc7/m2t23
aC/YpJt1VLo3cqAHCtYFuVANuiQaHb0xsj1KuCngLdwl2euZlSDOLgt3sz/zOilygrqCtlYkR6yr
dlMEfBt1oV4JGjvXC1DtHrXJy98SrYHPz6CqG37T9ERo66XXSFS5pXYV59stMP7UX1ujsb6WjIsZ
78PpIZmWkdo4Qoz4yHrx5iYtFY9Qt26wqrivlBuNa4PGHm+woXX3nAv4nCPQqx+eCcav2O+Z6xAN
gpGlUJa5y7m7do+i3jrDq9t34IZoIaNLOuObwI4JrCdBpRTLOc1OOUqCHTzn0uuOsakWjqtWjO8T
PvuXIZZU8+U+OlVJsKtEyXQc6qgrld9HrrZKkHOGwArF9tPClyTBz0udQvIy5FN7ZB3FNa4cVLJj
onZInxWAar2qhrngK4KFAQSWN4yoXzHZnHU/91+M5fhMKS5NN6JRXzkXPhZu9GwZbFdIIlhHNeZg
gmZ4x/kfIb+yu529KuZKKdy3Ms34LPHDoru1bK/7bdNz7a87FVa7ehjdPykX8t0yOt5RhxG2sxxp
lTg/sZaRnTDmrH5XJ7n7MHgOJ1rsRzwojc93b4g9+2BZYcv+KYalqFn7oHSVK66K4zdfnWFX9gZg
JJm6AwisR88ABiUtLct1SjCRjnKAffh7zBPKWrwDgwx8BvjNWgM86sH7eLBAZ/xd0cb3DPUswIl/
V1XTjzAYydZ0Vk5utSc/pFBlD77J7ft8sjIoGqGGlU/SDiwJfbYjTDs6KnxefCYBWmvtKckqccbq
T4w0EWSKML3w4DfbxQqGI0xMdU/E5zPoUPRWCXfa1TCN707dD+vOiRri+8tliEcidHURrAZBjU8Y
q3nt9cUCp+ytTjZZRyrZVqTAE7/i1zfyJQJZC6Ks3QcJAdFyBLdkoqrdDinZTGOkT89VCyzNZerw
l/bAFBjvOmLceGYEZ/3gfZiwj+dtWuoGAOTY3qYa8csggT065Hlz4lOuQxUqjcxxnIYPUzklO8Ar
5j2kci1fEB2yIHTuy7YtXsuEd0eVkZAjrJI80JFl70fXA+XU0qOWrNiieMs6XXDgJMiSTB1Zmj7H
g+gf4S0UBRg9UvrrQgnyuwFUVsZSR+LP5p3sZv4ao5O52nbkIXGHce/g1AXFcd2qJcfZqVid2qO/
vb6pfQaPrQ9dbV1jCICX0wgyWfUVpIZj3empg2MxKzfEPsZt5dbPTGbcUnqn3Wuwhrc08Yy7gugJ
da/qg/1beOYiAsiA2+S6aBho5qTwzi6B3/WY0uFHiH28hQzn/vKtZVtEYtqliT0fOqy5h6yuyags
MtllQyce40mNe5YMyJx9PdUz9rW62fflFD7Fo/HukCv5p6QsBf2mBIfB83jhq4r3ynPmGoIj4TK2
a6UhxgUxkwQEOLVyMTQizmWR79m+MAOydTMUVgSYqp2Fpwct9TlanOHeHuqLdY1jo+bdNqb3jk5O
qSfZALcCmREhxjXCXfgJ7Qjbo5bZOqA0hO4F4ESTx0rFr+zhT451AMJAHh7siObFVdXVai+5KJwd
YQ55Mfef2YiNZxuMFpycyC2TV76/GDqbdG8QEXh1sVdfRYVkbDPhxks7TKdpvI+dBIfxJGNi+Q4y
HeIO+zuxIRpl4bKzB287ZR4rxVaO53mBPa0xsb73sz1jkOT9SBqevGbMYNDa1dkvXZBH+Mt52bAz
5/7fzHHy2De6QS5OO5uAPSd0X4kLu4ZdMvH8Fu78IgG5/FmsInnugtb/wwYuuHEHeUroWKJ7ow1x
d2oAEiVnoQSuYKgltljI3leyaVduWUqeCtx8AtrwxxRc4wUmHDN1ddciBXNn+EIDZfJQjX0fQbHf
YgyCV6kx8bH4N0fA3iQ1OuOIc1QkfLTTngWTdTXP9xbmd9N+BDH3DZg7I5zBlmI15ng3/QoRKxkT
nAmAyCTTA54doEnV0PxCGHpP4uX3ZIKc17jXvtgqzo9J42KP5XWavEnmz1/9DEaRU0jMh6nlns6s
AS8rFVfUNzPLJgooXcTVXj7ouVhgNGnvvodyvlVY8Q4LTD08mbYm0gUt19mVNcQkss1pCHpu6q31
nENovg44GbLEjkbJBzZeMB6TChgk+EVzgJcVsMqw9N5qjHqoHDHe+PjeTz3n0SMmD2u9oPRvuLSb
C/kF56D6PnqLyaa8NFlPSYuFa4Vtj8DMYTnQSoerPm5lrbyD+oHuJNpCs/Dqu/XUZpsqcTET0Vkw
bhOM+qBUE+hocoo2vSXVjRjyct2XBBPgmHmq3lR0UG6ogYD/4nc/qUx6iHEhmeouxc7QZvmyVbZ8
9tH214mQwd7jNN2y3y1urFxd3LFcdld/6UoB8Lmb2wYWTWLM7zG3G1gmetIPDstvKspdnKsC7sQj
S1rCLJZjLiywvd9Kx+XZmkGykgkaT2nr06kYRfmwtqtYPzkzW8bZ7t8IWZMkg6623NqY8nc4ado9
r1L8Lsk83A+qgMnnZTeGO9chDTrYUJN+xYUZbzqCF1wlSZa+kKwpLxMdeWYlBid9peiUHYGlF8xN
yViva3u5bXkg1mVGCJpQrH/s4mwPWDw+uUWCHBlqfUpd964Os2Iz2IU+lNVcHtEyIMQBL+ITYaYT
DULLw5K26JuE94p1qGfxFpYtrg/btn9Znv0IPPeFLNZ0iVvIkH7IFJe1tABQKBhvCpM+xOwJE9xQ
Bwp++PwEwUwJUY3ympvyLqvI0pdtdrS5zj7QxINuwBCF+f0a5GV4sm9rAgAHdL8v3dXPjpjPEeFF
bmLuqWwKljZCR8MhDY14i9vG33V0t+9dxyle5OBzcPXspI9lWp5k5Q1nNAE8IY5rNolUzWsOI+WW
xCAoPaD2MLpZVGP19brrkW41a6zf+S5qovSgrARbx5V0UYim3k1Q7CAVDbMSgA+uEAZH5A8c0yMR
ByczW94c1Y6dpDgPavyuW4nW00W06SYT0h5oufqOc8td4/+aT/gJHLbTkXke+8jc6TKcDlfIxCMW
y3xLbyOSVCDLx4bLxeNEmwCooqJ+n/MxjSH2mPFsCtGt40DqH8/Y4euImXgV0whSoEgTMeCTvzT3
rJeCXyUkrw19BqgGMfUbGYyKrQvQ55iSHjkWsa8eZOIldzbVrIdgia+UncnuL2gD8VdOUyvsiboE
AYkQid1BemdCDs6bzCbDebZ0qIbGPQ/LHLTrOTM5vq2EfYLrBF9NGDgnLirRFyIhd4j0KkXZTfqQ
MIQDAm4H96T7t6sU9EuEuLKw1ov+faE18RV1I3nHn7bco23Y2yiAlrO0QfodW458nI3H5iCs8ucw
DeMtawHGe9i2tJrU/pMrpNjHQ+OuQTnHj2PE+hxw95Cf+jjNfippj08lr1cWM3N4D2jBBbtVA0Io
+pSS5zQMTwMMs13T8a5heC7FJc9n2prbxrtlZZVvNUi8jEfe6e7ZGDhPxcAATr1r9pRV1u+0a/XO
a3l/4tA+xRG+5th22/uoMfLTLUdkxYzPDCCVHm6Rn1gYg9oCi80C6igjEYQ8Mz5CcuECqKah3eQl
BO2lRcig6WsiEabkj0p1eMahU5fE5gaQXzNs44vH5WDHMg7AccXncGqbgseWUZ/RGbWAbZR6nKou
fEyDoNpGGAGeyzB54u3Kncdllub1ax/agiYrd4qzc5fl5sWbYNfPfc3iycrhSiiutdCChuwXAcsZ
MRrswdvogDFdBXk6ITugby/4ajiiEivb+cJ2zp3yls+yTry9hpe87ujDXAeMnOsgbXhdset7Qg3r
D64LfGlartp7LYbuB3PNTOgncp8WyIXHcR5y6gWAwzB0Bac6I2sysqIn/xHRAOAUoA7HzkdXmD2L
wBOyOY8lG2yQIWPSPxSL7HHG9eNuoEh8h5uMO2eUQBNgdfPUjaZmYu7cg3BIL647LSeXoXLWP4vl
ubwplvIli/kaeE5n75Lcq47VOIV3bTq099CjslN8ZVRGdAqj5fuO5ksuvzlwrNsxnLt+6+WWJhVB
iLBf/QtesTRNVU6GdZxciHG6+nabKoSiGubveT9HrFCwDL94OfsPF/fVZSzD9CMLuvHOtVm6oNNi
hs1GChlIEpQP/yt2+f+XjPAe6I//zgl//mzLT+7Gn//JBP/3r/rbBe/rv1x20loEXqBoqtN0//zN
CPCdv0TguBzSUghM6IHzj9ZIqf9yXKochaP5C/i+zQ/9Hx+8/Mv18f9RESbxWiPD/E+M8P+1Lwvz
u/aROG288B5L7uuP/1P3Em8yi80l5QMuDzE56XsvzH6kBljEi9oK+4exyn4aJKO/kxXEH6Lv6vK3
v/2fWx2ZQ/+L793zNAhGV2omFZaE1zLNf/6To9i1SaDmw9YD8PGNP1asBsdhfJjcUUZHheuQJBmU
A8gDibU8mq6meRa04wJzuqt/HGZOs85mXHps3YhrV3quML051GM3yXzN5kcEvVagfPQF3ZhTdWCo
39luSIUKo8Z+8Ub/ZEU9tucuQOAvZ7JEOUCmlfHa+ynCA+bZ9ldKTHwDC3OXBrZcQw9jFG9K1t8c
lX3ESstSggCL4Ww2bfpo884jGGxG+05WlrzklB/e+Z115eWaFMKMTp8jTKmYuGbT7Y3tFQ+zW21R
Em8IOXe3Wc2XAmuw5KpuBEcx8xW/eJqhvsDTHr9YxzovPYazbt0NMrpP/KC9cUsMcDKZw5XCMgJu
SUFixZ6aIsmm0WtCYcGj544GK2hcbyLg43JSw8NcNc4GM1v81ovIpvW9dawdkqddre3R0veT1fU/
oVGB4fUTYDWL0j74wyAMqWGeEI6jNhAvlPx2/F8cgt6GJWP82FX4P1eUPEM6z8kVtisW19NeCx2f
lS3gXAGhvlFE+da2hQBvkgKncbJAcVfZ7F4aCwGBM1PcJB0246E25cVErISZTJgaVksDsMdjVwZy
AhfevnIGc8NCu9/BOURegvvERN8vZ9Z49UuDKXbAB95ZKEm2W70qvG0bhZfaWvnZhGg66DGoLpGy
SRjETgbsLZ+HnuJ37pDYJ+qgZ6odnIMnREJAPxbLa5ErOiYwH2MjB28me4NpVs/3/Lyp4T1cym/X
8l2xjdhqbke3Dy6xN3UoUaMVYf4ABc8e1IKz2iG+MUdWKf2po6iyVSeUTe+VD9i6YkH26s6sD7dL
ysJvQ+s68H3Ta0rS2g5Ib+XX8zEsOixIEdrI7TDE/UdTKh6krBFvQGTj77D36y++Msljh7p872cu
i7FmzmHrI4jGb9B+yAcnQxJxGaCOm5U0W1OqGfhTFhVLukQynMBcB5wPGiK6k7ekHlX3xO7pROeW
SbWPLdlKXj2b2ATmJ1UtWG7hJDSbSap+oS2hIZV4DWB+0e6E9JpGU/0whjL4YHEX/yLMm+uto9uK
9gc63jcaUeh17NmzYe+WZjswD30WVd+9TFFAf70CCPvZJPhBVzWVqxspW2rkPbDp+MtlI7+tLpFP
cV8Xr7C+wwcuvv5bOZD25naVh9ZGTTaVH2FKH7Ujx6zeYoUoniqvcbaYtCkK5GJfk0NPvQyShM0V
D9uX7lO+7jlilGfwQEQx2+FtLJTey3iE8ArUSmLEBpQ7w1wY93EWt4/I9Q3x20jk54U5XF450Jwi
qN2M2eANrfu5nkEwykxnr2x6ggSaOzvdtVf61ZcQBA02HhuBA1llwvdU3/gzJ6Hyj0NJ2hUMyLV/
osZ/eLGKPL6o3sc70rLExBKG0+chASnxyreUOgCWN/AWde1tQ8drnyK0241TO9PWtd3iIZdYO5ea
9DMSjGne7I4sE4eZmJG/He+Dw5zvKJh67padL+l/gU1m0ew1RimBdTADsGg1Flrq4Sb0j97wN7VY
KzADQ4rhbxgQnB5LjoUxhPlAI/0y3k29N73m7GC52MG9v5rUA7ibQgXqnXX+iLN3cF1otdLC0jTN
Ir1NAzVcLFfXL3o2gEu7cPT1NpxK522C7vqniRZ8aUV8RaolNAIDf1RUq1LXFi8uQmU7R0cZgvle
+Rg87ljVivhSCRYm2ytX51SxbIv3XW73wWm28G6uZpoB6luE8QT+YpNanxOaTrgGT9Z221KV4a4r
YWaups6H/MzYAgC5XoB9IEJSHc+Dg++5qTIYnw5ulQwTJZ0DEN9nFyiH2/FTpAs41bR6uGk7nJC6
18spSK/zutLhLU9S++GPlrxFF/FfB8bu0wi79rykgoNYEBIliTPzBs3KYf5VaMmhF+lkuqM9VJfb
IuOkRu3hmj0Dr0Gddh3/T4W/4clkeKgT+BDQWcFz0RMz+O3PPIzxAwYcVNOEvrftKILpTheTpD8D
mLBNtdKvkmgyhTq6wj7LNoPZOI8YzMvlXKgSdCj5n7PPR29r8zf/XPr0bphiwii+uPJ9yCD9Ru7K
75xw6KbtwIgGr8xOfOqaatcXh5CoC6idQYefIpp9WDZen803lcc1mbFnjH8J24AvKnSepDC8DDd7
5OMG7S6e3+zF9p45fuuLAWa4j4SZ34kbyBtPRfh9da7y92LAnrNi/vW9VSQ8Jr8x9YkPKIwhGKLY
NfMxtET7MQ1uf3F8a7wLTaguwu+o7Jkna63DZGEHONhfgWeFpH8h7sN3yPcKxGfNLIKZcNXSjfNn
ScaoXrtN57tY3qH/Xb9p6iEhNPZUVXI4Dlgl8hvMR/67O8Txz5KFpF5k3MB/lMDY+cKl8YLY19Ny
jEHZODT5VBFQoJn6iU/eLskDILbYcGzVBZWRCiEJe2ZfU04GNiDz70XIK3/tjBhQjjliK8AjG59l
x3C9MXbe8SFAWTGdha9YBeFdNVa/aJGANdkSMI5TWa2TopvjHRcDBrGht3xk3djx4PvZ2DaamcXy
ugiBQdSxobMJ1speFuHMnqO2MEcWSn81qrfPZexpd2V8yWKcrXZ3aCzLuxkc+Y7zpHnJjO381pkK
cio6ecy2geropJKKSwKAdL//Yeyl8qIZ/HHYOomrHzF6RzCHRpuonGZf32GsHlI+nfaAWDBNdstD
MxYD7VA6ZbWoKUupzqyHnF8TiwdaKanr4CKUO7z04WQe2lyQDoIdyuuSF7z8aTPo55zTefSWtCW6
qQXl5Z6oJelKMRcjC0aM+iu6CiRtjqaYT1BCrN9h0g5X/wRSOeBkLda1m/UfaIesN1D4rI8Ik4e3
trs5/TSTzSkQqAKegWTr8VSydHcO0VhzN3EkGZgpmwQvY6ujYw6ojA1KKgrJfbOemaPb2Rb2oyjz
Re+QYyYy1EvetJj56HPpPeX/oROUBZMDnTrIclIOdbC2e+ntXAJ6vyajrn0/aHqrNozlirQDXBdB
tIZYj2ZBSc4PtV5aX7OM6neBENa7yACOBYElWPQq6jUpPRKt10pSMupLzR9WR+p+SPE1R95V9bNH
JlF33hSJKQ9R4GKFmlPtPKS1ZW2nosR02rU5G6HQ4ZU7hpcZ2y02ISSvnQZbFeBs/MWTaP9g2kq3
7ZiwV2wrP7j4Q9vepLGZsMKnuf+4yDmptqIP4idrlsWtGia+fnwoXtHbOa5yG4/KXmOv+BU6unvu
2p7VRbK4Zt4MXtSRUZjr4QcG6PDlxNBwIe10cbGusEbSg81082PrDo1yIVTy7NQzGnEFOA2QrE12
UVkUGUaKpxDi+1TGGznM009iMfLXxNWepoVDZVWXYT1sAIiCCMfoD2M87FmcHlC9DFimzMwn9p0k
cJq8ALYy86YVWRxD4XcgXPIaK5v8ruA2X2wytqXi6MLvQazxkqc6a6zHal5Ayvt2BFCNeCnOKrp2
J6WndRWkNupCM0xilZcelUp5iEJpWJfho4y94LkiL2ZTOjtzE+RFebXftGPubNia5CihAN4JDwPB
IiztzHxpfad6kSwX2BmLzNsOWY0bajE4SfruSlKIoLz8glwSdFRqDfF35kdoUY0fcisqrYIrovQE
WN9oUtWrwID0PHVC/1E0Gh2meTb1kXrY8o2AG2NeZLfpZ+pUkdgxxrr3E8qLXNlWmQcrOiTkOYhG
rodBGcwUk5Va2xvEF4fDwZGQtRx2yQ8t9ZvjmpgEnLKW8siNN1iMOZ3Tigt7+wY3h26Rf+bWEc9+
2dqrycq/IUUZf5VBZ8bfQQLEW42FlZIb8SJ58trJvav6kStk3E+BPiWFFiesLjxwIZ/8Y09s8dJB
0mTFlTnQEIgdmBVaEpQ05YjjpCN8Q1aV/vH8DlKT7SfyzJTsPlAfBb5oEaupQYxVarkzcUZ9FY4c
9o4ebr+JUK2Dol7BsVYyIrCiCF3yAbhPyDHQjdHXNIiRFq58rh9tNXZIgX6f0US/MFgslEBRpjog
Ak6CkEKb7MtGlg+T0xeXYm6xnEhujcixcxvyx8xOflOVMtlaAJ7xhBkuFyb17m1cNDuotgcKHCXr
/mkbddmEja8Vr6IsFMlrNnSbou1+lbTnrPtEeY8jgMUt7KN555bmnjyLmcAZDR59ZSY4wronTzLR
MDVyQgViA0gnOUuU5VXVslHfijYv72JdBadlpCllXYUBbUsc3t+68/eNFt0PjXEZm37oof1YBu8k
l/TJj5X9phovIjDBeEael+EsZ1HdOwM7/DoJqXbhd8ysy+LZOI6MjVuOVzL7hgJzykE1IbU+UzDL
5ytQ74w5ZliNgVUffC8eX2q/yT5CTALABsVs/YyDX3YfdsYYxAUgGdWuDLVY9m2aTZqTVJlNfy1w
PCagMv5Ysm8J18bcLMc44AWWGim4DdQz1nGM78iGqQ4eAgAM6U5qcq+DO2HOjEUNkXmgFCBkzOSm
gFOGdyYVU4m7smvNQaUnMiMb7kjdqf73Y6fnr/bee7Dhri3MITtMnHgwQ4S6xpkKxoQdvnk63VTV
gSqv/YGaAruU3kfvT/Ibx57CFIbJDxNzp4NjMAYmOBQNTP21DZSEd7Cde986goCcoOScu6mb7ubU
LDQUiJiL6SBTCl8KAhS4RJuEwjOnOvSDbT86vQDjE2nBkRhqWhUAqUTUL9cdrOqk8GcXwmDIcH6N
MSsCh0rcDG0Nvb8nIbLqdQyopLIMjpp50f3+f0X5/P8PFMJq5Irr+O8k0n8Fs/X5FX/m/1deyD9+
g7/V0sD/y5GuCoS2FQKoa/9DLQ3QPZ2ASh33H2SQ/0CGqACxNCBV7iqIEJz8KLb/IZYq7y/PFUir
/HY+Iqev/idiKcn+/yxassyA1OF6eBeU0q4v+dv9s2jZREU9JyomCZIkbP2gQmf3DAJDv7HD4WoZ
MEOeQgcqqa/06zamrUlD7NrALVVHSzvp1sP3CFW7JAwsRcbFYDQJ/+Uul7yzWA2wsWnDZRnIYnQi
HUqu022V2LYTDqa7ymU9e+BVW78TDkV2qWQC7o8hPyJiEpEd28KXJQ88RQ5gbp/3usalLeYJazB+
n9/1MlOIHjYOISqL9oh8Uyr6/dbLFEwcIgNWLQNuHhstM786NCZt920BB2NljZiPL8QwQEc5dU0b
0uySoypZ1jz0k6HmOqPNj+qRdGJv2VgNnRO2LsRPnIhq2TYRfsmN41jOYxmHvKHg40VvBCvUsNc6
nK+qZn+piQduOlOU16hMPXG6tM74Gacd7fXaLVhM117y7lheB08M6WE9VUI8mMlrgUwoD0gg4qBN
4ARBLS2Vt7LlFD5z7Z3fcAdQiVYuik2KElVyAJwHXQBURub9G2XntSM5kmbpV1nMPQdURnExe+Fa
hPbQN0SIDGphpJFG8un3Y/RgUNVo7MwAjWpUZUWWpzvd7BfnfGdFnktJEBp20Wu7tPS1Hmfj7OAp
3cvZTecbLFO9dbHb2kH34E4y3rkh5+vLoKiqJ0l8z7YITcl4EojDEqBpod1c4axu06PsOgHDaXlf
cnRMTsdosoAv89glkHdXqmUPFnlN82p3Ts7oaVjerOTYq2QRMTR6y2/jnp3QhdORB6SYA+JCKV36
yWDdxn7AdQh1DgIvMM7NUgzSHZnjAwLknwwy6rbKc8ItEPwda6MnrauJsH5Ly97Rc09rUhTmG+j2
yap0uBmm2SXWPbcY1sQCxycVuyYcJ+z9C4f5kVmpRf1gRCHcqL7cull06Sjsb+DBvth439a5V12h
rqfvJUXIKstjNbRHPcbV3ijMcg+PwV6PVZZunVlV10xcqxNjePehRL589MaFI+MQ6ICRMtiXLgzC
kNzo3pNXUFhc7IsuQPsouCaarbtGZEXVOJTyCkCFz6fqJt8u9uB9wEDzJaUxuRmcXBz6AXlyDIdt
ZYRJj7Cxwx8bNP7WKfr6wQejedNWTNNdhKLbOfTROY6JGT3FxXjJFcKkSQFemHoUndL3CUr2EsYl
YR1tMMMY1JHZZ21lzkUStrlDkzWsfWxjOy8q3K1b4fi03JCpIJCZ1FL9tSy8GWpFYkpsrKJ/LJLm
bmiA2jFGJ1RLIOFqCZC6jZKCAJh5Aj2HGnwjSC6qhb0f6ObiaXggvhJdjG+wm27+gAa9y7UFBx/A
AqQiZtIV7udbRWX7iqa93yT8CsnBefUKz7rhMHIe3YHnH+XJCoL5d2Ele6uvwjtjns0/7SKwbuvm
3Hh+j7LGQwIRGoRC5uOPX6lzX8JihxjMJ98gVWaeNRt4AGkxip7qPRLtPnIKY+WkwC5JV8WokpDX
U3VlgWIQjpH26XaKScyvBq97l2URc9TClXvHyfR1kORA7QNDX3JRXzzQLCfceUCUzYIwYU3/Erij
u80dRE0t0PMttneUZMjM0PIToLkB0SoOiRU5hAgYQ49cjbXD2sUDu5mIER6Q+NvTc5pRaExOhFA4
ZADsodLehokQX0q2P42E52L2gTyNXuTsEjgu2GLBnkLPK+/YPjEwUp19Qnaaf9ZgOXZkNoLxiLWo
7ihX4g2BrsGBJ4GTUBlmtxWTDF50aMffTT7o9L9ZqXnin1BSgSlM03MdYfpEnPjhsjT86+2Es0om
MPKxs9sdppDI0qVHLVlPAONK54m4RZczrk7zjXbkXBK4NlSPFfEG2zYprG824mF2NdXasra5EvOB
pCscgO3y6QMltrimNMSPZg1OBgGq3acltKnASo6iLwN9O7LOIbOYWMPnjuCSh4m5jYMIDbSeOMOa
CK6J7czvkgBkpItIs1uBZiJzRNmq+zQceyH9Jd5L3k3gdwgZYfFHypdYmeh4NIsWT1+HUd4dtfYn
Nja0QnNsjLsiYRswO8N4EKMfnkLyhlD64QRwiIPhax+p55CArI1HDgrKqhAlFAhrIjqoQ5ili2zn
j9xbCpHGqnZnuMk6nKdD4LWEgK5QFg3F3rfYqmGSMMHUmZMor3wX8zfMWir4fiB/wPen00JMPxYx
YbJrmkXjIc898Aa1wiM4dQ4NXxJfpJ62s9PmuzRtyOaqZvLYB0YZt2XI/i7AmHkrlCdeKqOhWf1N
V8acs2PnxXrHnEC0mwlxnHFwSTDsrjvxXmXTeQjVR60s4nuwn2Gzc2+a7HMY2ofQsIKr2oJ3wUyn
3UAL6B4SMw/h3vDGUW8gRjchdtYMcA6V2acEVQt7WxYEdTNXOymjerB1n94kDCIxXTkeuIDk4LuR
OHKtYGFXXvGMcwqjSidg/s6olLHkNN2wxbYDpq8EMpGx6NyYdvM5arCSbesCOp3D6mDxbN5K5B8X
sp+/fLq8hzrhm+fovr/plOjinUF2FSPWWUQ4M0hOiIkgAUb2XUxu8wp9gqibgGBpdx+6A2o1LGk2
h7IQ4wu0AUKqwtJsPibby99UBPT6Ipj5V7w+X6LWDmP5ZsFqvsH44Nzg6fc+dQZSJW+GHg2RcIzP
Ick7iFAekY+VpcQ+NEwCeBNyZkCGeBfHMdQXivoQmHZYXuxq7JMt2XHzXhRMywpAR9f+mLTXfd0T
axOlFRHgZRA/mK5yUSBz3kipued7tIueOy7kZCN4lLlrQWp2vA+qWjahfjzG1kGbsjilWhqECOFt
NKGzGPmDrvDckXaJPZAOOGd0nRcIk9YuBUe35bBr5I4sN3a+nFgN64W5l6xLpvimVHHI22lnXPv+
PG+tikSTqc7KF64W90+PIO5A6aVsjsgaRRd4BRgIGWxmxuzVoZmYw53GIA1GeERW9eyJLL/Op9y5
qd1yIB8pDF/7Dl0lXZyxk20UP8wGkVDshtrqwsvIH6155tOVpHas2PyYJy/QwzmRLjRwQdN+leQ4
SNlkScJVo7rb2q39NjVVemLAqtntT3mG7iX1X6dI/wxNb5hryxqGA9zTHQGZXF2gbsQ+z6fxvXXI
6WJ12i9Q7SooPzozGS5WU7iv0YgDkU90YFsUd3YAJMUHHTsEpfM+s0XdcCkZb+SBZA+pFYUfTSfH
Rwu+91WGQoBxOetW6pIKx7Gbkbq7Re3HxNmq835H8KT3hXkiO6C7UnLrjAB1t6LPe+5VWCh67Y5q
ejeD1rjRULEBd0UZM102SvnZcDN5zbBbo5+yh2+zbOeU71wXvFiV2SpGrrbhnGvA4XQahCa9MuBE
AlA0LNTXjdG23kpxWbwFCP4vgqRSVHARbFJWm+ugw1qy6dyIMFEUx2yA9MBYjkOvI9xtGkYWB5GE
piVGbdPhM3E4MDVNPifE7hEj/mK4hlOtVtKOynZV5H43nwNqbNNq8vgMrTVtdo5W/jcre+sqSr3+
lGS4vvY+Bupn1SZ2s7WU1R0E2LmnqhPJnfKq4LMeLXUZLFqocXkkaZ7QCfIQxHwJSTEl3RdWnXTX
CEq9q3loALo7Vkj/M5aazAMVlwUTPje+UyKcH5WZsl8FlohAH4Qup/hcGD/YalAXdiXrBUB2prgh
RIulp1M4w7Wc0afPieN8xkY3dTseeflnUnF+tNhMsLhLZfxaAXIPdzl+GJawrgsyfsC4WsaF3OJe
r6yNTH3EFsYAH5vJjnyGf80EyKjGcktiHcLUxaSyDQE+Mp0wOkz7eTKrc4d04RatXvjA+1OxGrWo
Or2ufWOMYm0DlonVpqV4aeCvyOatVLUilxB6B0sUA0adFevxiIgDgSOkDb1BxAtwI/NrnsesAc3k
uk1626d2zL7F6YKVdmMUfFUqOuxhDJTwL+YkMuKU8rHKY2cAbIegmUBW/wlyxvRJHwMEKhtTvMCy
mjxYRew3btoJGu46VeF4N7X61TbNC1Az+VgOEiB8P1b1bQ+/p74b8jE5DLMtPrzZAJHbTwUx8rE9
HiUi0m0z2t1rL53uZ4R9V24MXQeX2hzLC4Kg+JmkV26ifADaU7Y4FNezj6Ykrqwq31EIG9dxHQLN
YtcEkCzO2DanTvLUDp59mipHtac8LcxsH/YGieEx098b8nrbWxyYA/RAOT/gmx9JonO7o+8NwZtv
meOlpdyCrjsa0ZFWyYt3FquyY0W9CQFBTuVm7nk617Y91f6ttNgWbEwGH+s5GKa9KbXzAdu3PfbS
JCvRQnurQx/Vutu6OqSfbKjAEthOCFqlMd4ZrS5XWK70FzN79R03BdsU1idli7pvWCpWzokP2lki
NGjhkfkID2dRZYDKH4X2KYuy6ZkwezZavMWoCUKGqvTSTUIyHxvjxVDGF5tISob7G8MHBpHNvXp0
RZFZGzcaGamZhVPF+9jAR2VZrrwOkLLvC4kaq2dt9gq2LcpvS6PEREqeJ+cmA38wOpznzlkS3F3e
NWhWMZDSCaf7UboT9YWP4bEIqYqmJlkiyAEu8TAXITZIqeKvuV2srgGxgdtAsjWgeiA+nCFx0OKA
LTCAODqappMuBiM+BsieElQM9fTewHFemxAEnkbkuX8Eg9SjaYTVixB58hzCm8drYZt6r03DAknm
qr1HxBTZtknA6qbqf3JLT3TEDnhl9ptVwYAX4MdmsgjYUqMwsHLWcsNkkz4OstymtH3afKzI+aqM
ffHl+nHXr7ywEY9zaBUIAmgi49A7+eng7qaiwC/ShfNlGCfzpmA6A6d9yaWKunFapxhJHjqgr1/1
3NjsCVt5KVhWc2d3wAz6Whn0i8pJH2aGUlA7k+KFoMrhpsjd8ZHgk+q4KLAyqtnaRA6mg01YNdF1
V5jixHazeZwUpX9rFNMh9tl8TyzefjBFVLfCbsUjjz2VcOaerLRzCAaP1CvWCvdcetZ89mdrPCDW
YzsdJ0BolVPt7Zw0TF9cqMnbe+2P8gzky71Keqc+5F7qvZl8cp+RkxHiNZhiN6Ruu4lmK79qUKzc
dT5MNwKScAqW8Km0zZyhi+z4J3CTp2g0Chh3zRbMoLOntmNNRZ+5nZBEX6lGvYXkKe7ZOAFTYyAO
Gk3mmwDUHGGWwQtu0fC6Shp9FF36hbQyWqYVOTDVjJgPR1AP2P3JTqL04MWqOEdBZm8UyNx1bI3F
OxSl6np2MaGFDi0Ct0N3qAnrPags8zeGYsbOn6fb+Sm4HdJ5CWAN138Zjv4LZeQ/o4np4tzAQfnp
uZYLNMhbury/SDINjt9Kc5Ac7SG1KTuXKi1w6vgGMqSr12j4+Ob6nm9hq3Uw0E+9f9SlA4Drv3kh
vwFRf0ET80p8UB1ima3yf07wT2jito/kWKJPPk6kGGRDpz6T0NHzfTO4YXcbBEz+73KQL862mEv9
MMAFbdEWZQov1cD3O3GHZxbKuAqGCfXNjvhc5mdOIkr54QnIERsAiOJFKru4C8OId95zitcAAjFj
iWUgV+rB+oRYA8MdA418Yfxh7EalnIs9aOOrTSIK7z6In5CM9z7q7Th9VSn6NY449zok+wNn3WC+
BG3Mg5Im4z28gizYMIkNt9Ns5mc3Ue3GmWqMxUTb3WostGvFwu8BO8t0NsbRue4LIIEMbIudMxav
SATNewVZgY1HsLaXoaW/jC9JIWWSOWDQY1Rq5HbChrWFc/879oR3wwjUF7b50/wORm1X+t9+4AHg
EXg2iE22XjzHRLgic6r8VbEU7KMSvY2KNUgPaY+uPkzIyloXv9W99VvpIyOl6h9/O4B0yKcvUbWc
neYQ3Ga/fQIRQ84hGrnRFFEk9t75bSeYJnkfiC0Xn2YYHI3IforF1B+bsY0R/fLG5zOqJCMLF1/6
0rMgaqR9CZZOhihKGH1Ld0Pi3LyPklEl22Dmfs5qMCXgF+mIlt4oWLqkBOTJpgVTsbdly4xymYiu
OU2Mz+K3yRqXfgv9oPcZLj2YvXRjk8F4W4KjmNbMcmjXmjCx54snuvxN2EXzIfzZ7DfVpJzxpfAk
b5KoC3GjZvrLvXaxBfEjsnlto8arvoHq9Ok2EX38o5y+lnf//6+J/Tv0/9vXxDd9thK2sNlPWIHN
NuSvX9geQ8rgsOM/4kqzrhsD93+tU4JNW9BBCMuCo0S1oNcwI5Dqt/VtgDz/Cmc5IGvD0+PJU7Fk
mjYjT2UCQJwPlEn9QNeDv9xlTvralkMzkIHuyIsL8xlxL1Hp8ZTqreePt7jxb3WB4mCFNmu4soKS
BPTOGaOvaomF8dLGAw0k83sbqQUjfS87QWa/oNO9rezoLixQRBE70zMBhotgxhe+486NWc7XNGYk
WBvY+TjxTGxMzOvwKrcy8A4JNsRhpTwKVO4O8zA0fnGHed+8c2prcLe1K+JHywcPEA9ZuIUWbOBq
dGrN7A2HxQ2Hi7wL2m7cdVQyaiOYLWtEaCTqbsVY5CcIEiX8DaslSbT0muobLZlcCmZscAVaLDsc
umeMioRrOKzwIRUUm1COAxICUiHeErYKb6OYcBVrcgt2OM+SfVqiLObWdX12FhBUEVLGhyoQfOVc
Ykj487Ue7JoyG5DJhCHXV29GezrhKt2MxKixHLdbCD1+P4SIgdvoHqli8llabrQnAyHdRiBBH5DT
5UwK0gDzqBhORYbUApe0dcNoceappOgssnA8E+FrvBMAhfSUCc7aMkiHydNsScIVjXwyITaSJeEE
q0ErZmZscpKd1/dcabNAkQCu422wrfSRPFb7WWZlBSJtNpN1PUiOplFn9/DW4VSDOj0LTqm16/tq
W7Nr2Oo48e/8xMqeKhMfLWl24WKQ5Z05peQaFjQxHlBn1G97z09MvtdIRcD31pcw1M0OCQi15e9N
NCede++hmbjW87iYx1uzxxbqVCq4w17Yk++0LJGs330SIqoeWfvvnslcVk4tU90lZHTZREVdwVYq
TBG4bL3K/rR+t1Yh+yv7d5PVOcLZQeXyn4vfTVdlGwZymxS8OCJkZ7EXennzRkwwIYSO61nxzdw0
lrld7rFvt9cjUPXRDvD9LNu2DCcOScjtyF/pDBzYByiDYLzNJI1hrzlKWyrqaukuMdOYqgnpCbM8
O2SBh25rYoAhNi0L9rMDKS09yN+Z7riMd3NhvUq8twEGgcc8TBGLLV8QO2Mz5KcnGc0zlJbQ3zVW
3S+vutsJFq3nMWFF1Bm1OJBR2uE5+a+Ihn9RWBCdgDh3Ikzx+P0f/+YHJujhwOGQQsfpWI77T4YL
4tox1RbUFWEsbuLwFijPVTPc//5H/ldxof+zLfdjXfK/f07M+FuARvd/f38ZR8kGj83f/gbTdKqm
+/5POz386friH2Eb//lv/k9/8f/8+f1dHqfmz3/828d3mVabtOMC+lJ/c/OEZEX85a1eXst//uTN
R8lPXn98J9O/TsP4x4/+Y7Ud2P8egOOhMDNtJvX+341AWD0Xtw+3BxfJf/mA2F8H/ACkbj412Evh
X1bb1r+bvkeZ7Hl4FgIn/F/5gCxydP7+fPB9MD0PxS3dou+ajvinuNDUwtc/53O3G4s+cTdmiwDa
6trk1jAy8zkRynoJ2OIyiSG05ipF+2qdgqpRx0Cn2aVy7RTvJYCpFTNu9xvaSvg4VypswBHHtneF
KKZPnmMib1nDGXXwDFAQFX9j25sR1hWmh+JBus745ItaEA3TD7fwZJ9RIo4G4i39mIoGCNxcVd+9
8J3b1iyx3brk94CgTY5tXPZ3eE4LEhx9MS6BlKqER5ZQTCp7UkQ0TR3JggppcmACq18jyZzuwz4i
yDJLccyd7FZCCWeH9MAcjFQmL5nLS2MGyGGytB0upVWXaItcjSeBRdSyY3YXLYAdF8wSHJrgb8MI
aDUnWeF+cUqEbFcMPsLwNEQ2FskJcU97P015803rT1sch2M+PIMjDb9rSKefIGtqIoa5+cut8nHA
x5kmkCENQ8Tshpfb5a2ga9On2RDDj4p8VSMAK+U7taf1WHuMZh2ul3vbRQ6js+yYMJ40To1BLsi+
LgLvk+QadzgCREYRR1ykjBl6eFCakrEB0ggQeWdlOHI5ot2FvTOZjy4Lo7e+cOPvXhrt12h2/k3p
p5O/7QKpthGRSeQhlI0+syQh0gEpagB4sC33vCuAV5QAmw2eZwBhlzZwFodc02yp+Ir9YJm/zzwc
D4QaGaSBmJV5MlpQjTW2+7WaMXqsmogBmYX4IV03/TJnBIO0Qc3KssgF/rbPKo2Lq8niK7fKv/qS
p4WCmLEBKY/s45FpXAJuQaTcQBPMgj83anJvnRmzRa6XO9Yf5pK71RFl9hMXZfDitqjJ1+yXc+c9
aXwPfSO0Ib8nmsSqTWwcg3FgnBjTY1vp3mQCmmxUGaZn6C8PrMBTrFLgYYWYxL3vi/CtbYsUFBOZ
cttimpO9JLkEkZONASg3jeJ1aEdmwSStkiINMW+M174Le2PVE+SUr4usGNFsJkXWnLrKMfZ+MEtq
lCKGFAencUHaPwSZNmG4M6jZuxkDe7QJj2QuDm+t60NqahDzYdMGsboe8H4Hu6COAudgRuX8ITBJ
JC8EUNJbpGPiY9tKqOKYvRpaH02faKaV7mcnWNelmVZHi/E4q9ZwSF47nY4MH61YEa2KwH+8klNs
hBuCFyQAv8B2kp2beyTWJ4a2bjsuS58lbeu9OVAkjHEVxDTn+6js3RdQoNK4EW6XtLtUgMrajYt9
kECKDrBO7qGK3mlGjOYmG/mgWfZXAvqeY8fVeEM3FffX0YCWc23JzCwvaci/9ZAEmvHr5LMJfVE8
XQH7cvhGuyg2AnTsGpHcmsANYj+bWSM0S1L1aGYQ+VAUxfKSd/UUbEmEw0euB3iOQ1HDonAEbQX3
v8XmixdqrxEA5H8KrZhGAKdumYUhuyX5FbBYx4PEOBlGhAFxsuqtaNiUc/GDNV1S1ToaolvWsNTk
yWS/CsbSX4Emc+8RNVc3VSXEt2ewXji4ZFCnp94V7acTFkT2ECIqN0gTmVtiAARrFI42yH3XepJu
iULUzC13x4AIUarZMO5PEDysfYEefT0vUqpNhKAAE1Iyo1LigCTaDhCRrNf8EcsNsbxs7/IEaDrN
aI7GKKta/TYMVXA9YB97qeGX4BYResLRYRPs2Tp4BBHcjRSYsL2XclkfgGLr6yGU4R3xbgWWi4y4
2wzk070AjrB2k8p+KIcqcdcaqyL2QxjVx0ja5EU2tCUM3Kf0rJAXsfFq5aNV2c4LlaneWWxzWLiE
HnpgTX1WckWW29EwTRJghwJXoT1mUBJB5yAanPu9OfXhVcMkbV0hnEeGX5c9Vr+quTVU3X9gIxnf
U225z11i5UevH7KdyVzzgdsyDfbS8rtHNB7jp0Sb+Y3RUT9qerrdIKpLyLHESFf6IXmzQ33J8ASw
W8BneZISAfQeJ058sErJ2BAz036o0L+sBVwjZy2yME12QTHMLes87y32Kz7WHivROfewkRPPQnWa
sn4zQSweMvQc74wm6BRrYdr6YNpsKouhCDaYWepDWQ71FkGRvhGdZEov2Qpnu8niD4wgAYkm+YZX
PfulZG1XsdVcTaVDBlvXzvWTLHQBgmpksYOopnGPIBCGc54npLrVfuCyJTRV+i4AtNwzUAW7JOH5
AecgyBJv8RdXc3s1w09+I5ERgbBmhnFqRlZBJbsPXsvEQSUcQGAlIPkaee0Q3vJa1HupQ/M5tzoE
072u5wdmqwnN9NSgYfCYd/rZHy+wgbGTI73VUZmqGz696o1mZ96MQhn7rGU3W9tutknr5hu35HyX
MA68oXIBFhRWJQYZ5nmSpiw5VjXUYcJt221OdijfN1Q8G4v03HuTbgEhVA/j2OphtV0qVqwn262J
orFYGW5jt58R6dcoEjYa8TRKA4+xmCcHFxsj1fTIeNs5iqTKX2tCKOLbyVUI5c3MrT5r3akvVDEg
0jpEdgaCgWjC+oAQmrFiPPiXkEgq9Gui8E9NgNN4hUWOv06JMAJoMTGHmQlXcEC3nVbAriW/mEdK
3LuZzcZUd5zMfLjWM/7WSm0VBrJ6zU+Xm4bCDC2zGNP9NGv1Q8pZLVmj8Pemk/Q/QqvhWGjRXKGl
80/CSJv7vK7BITOslclGwBJ5KipZ7RNZdqAMicMyvcg7AVviN4JFVODIKIqEnPOOywal+ACHDfFN
gm6ZX2RSqsJDC54UY9DkzB8yrKBnyNGZPiALRl+qG2GZdd1QxXxjXZa09riotVFotAyhM1QKNj9e
rWXZsLor/a6ihQGCQmGabNjGQWlDlBHjme2LmYfViOK9HWb1e0i2L983p9I79MzomqJ8YBgsWJ+B
1PDidUpK6Qe2Y3F2oyj6cPq+2w5R27cUeEZ0RtFhCahkKPd9XtI25sxceHdm/aKCWH7N5HOBEql9
gYZAgMkNGRg8gJEeFx9f9ViHPa+tbWtcAUE6pGvdpN2xknPsbG1SFO849adN2/rhfKDYqRvcn1H8
FFnFcu6QBeJ2zDrWXhmyhmsjiqYNW/qqXDvjJN+DNOOqCYwQ9Ekphbtp+rH/UKomq4vtfQ0ALc9v
ndRuXUibJeIyPILkujIkGa9Va/XANZCfP8WzCh+ZmuUQZvnNbtIpMYH+jIAwR390X81QDMkFxWp4
J10ctFsOmAAnuMH1sRhE8T9yMxOVPhFSwIDLRJWtggPxpoZa54j5p1XMe3YgcmLYC/YR3UpYrX+f
zhnCsKDS9sXj1tk0Xtw/swlNL85kB3d6iqnbEkxz9wV29mFnhrPoKEkME4ISJgvy0CFjXgYvTG+z
YSbiGtb3dIsYJf8io8p5kMBSuImYoGNxxmy+FYMwvjnxEP4UnYdOIMj+4Fwg+q9MxBOS9draEfDr
PZi99t5J4saOyOwV4ZdcmKV6whOaeLX/liMSuCvN1visgzK7mFPSpme7U+USWen/wApKm6s57paE
g06U3w6b/udZE/pQzMVw9vGCpBuiBs1sbfpDVu08ROrThu2xmRzY0HkH0nSNJy+eimFbdE23N5VQ
5zIhwt2fUpOZoWigw0x926/BXRUnMwfhRHjFML2QI8esJ8kg1vmMinyW0ym4ZKturhS8e+gOcdpu
dRWn5zHuzKNV9q+jqbCoxHW6maFN8UJs+R7V5tJMec1pTJzgmLYNJ48buzA6GSYR2gNNLp00oCUO
L8w3ybOdWwG7TRw2PIUDeqTwp/bdA5qw9jgyaNzKQBU710jGfaCTeh9BLfgT4Wy+hd3A+QeVFaHW
SHdoKHdfl4qhLiUCK7Nx8Jhc1PXduBCJZNZ0O2syEBJ1Oj/L2O+/AC81974BaH4dDctKd/Trx0WM
t0Na0h1I9o3fKWfI7AiTh7TiaO56XigYa6wlEpytP9TRGWpaum/ClmjCuO+ucA9yUxvDvNEpnKnI
U0erDqDtcBPn26HS6juXlam3mS4IKcmS4D2TmG82lfTUSfOArA1jas8tvkeKxTw7hV0+fMyB/J7Z
U9PTuNFyndKNNUkVHb2pbXEd2/OeFijeAZGnq00x9l2HKcGLiS+ctSQgatXGuEcIdPfuVWlOwVoS
0Xv2IKpdmU3SHCcDyc4mEK15K2bBMNPIvCunjh557O89Nz4PY0/MvXbvXD8PVoEoZryN2H87tI5o
orsFSIqMZyXnJerCUBXqXIA6z5hocd7GXrim+4RpFlbyyTPV+JE2+XjnzTazRNNT2fU0e/7BswnT
qaHaOXtz7FyONxwfb55t3uZN197mGEv2UacOveW0VIB9BaG6cPp3qs4IQpkQrygCB6Tr3XWZFPLc
FVm5kdYS+pqWTvxph5H5ieyBjKWerM6pn4JrCr35POAqvcmKob+UCf9t1HQC8gXxNpKcaDSIrSGO
5VzaN7Xn60flU5tPXa5YcReGesPVI07KsodtVfZoNCan+wTTGO+K0B8hXkb6EsVExZiBMoniCrjd
SODbOYblvQSVDPNV1cTxwrseZnNLNQIVavSRhwyygD4Ov3uLSp4ZOiqhCoSE7SuucEsma4+ujW7Y
gESIlQ7Od4Jw+8eHAeQ/IgVbYNF2VdGZKDtZK26T79YmhGsRfpF/NafV+xi3jCd6x4bP4BtZE9+V
WWM+k2pSU37n5R0+Hvvdht18ayMT+O4yo8bs6RZojBs+h2NPd7Mja51Gwp/H9DmXI2QjI2hsTIVN
V1WHMZYBGj/8ZNugkPPrkDTi6DMBOo59h9sgG53qDqes7R2WAclHjGZtO+RQqlYu9DP84y6MNBTu
yrhYBCKtlB7Ih4f7eSFcT33YRcoB0FnlgfUw7PY6OTtdp6D892COTM2chb6uAMQQ1eJR+pM6dNXs
2NcxOpQOv1GbtUQO2DPob7N0DLZ3RqYwPeEvfQaVZ5v7hlvTYfNcLCVjfKUZbKe6zXgjVIh+NOpY
qq8yiLQ/jTn2NwGB2y8IUXw2jYiG8XQqP3tNq7Q9McGp6l2QSYyoNpyak+FnTvlITtN8qZQ1eFfl
mKgOvtwIAXwm6GdLLjnsKaYSe+X4b2EJQ3krad/2DsM5nxMpNfXascR8TdMJO7LixtppjUY/jzu9
pjUzHpuAQA0imIgQYzwP6q0e3vnKocbhyPfcs+zL7BYRtPtVZH3wwmQG4y33EZV0I/ZVXjQ3Imzk
l9vGhJqnYewQV9NbwLGT4hvNrBEdZJClIeOHFtaJBdGV2Q6aTqSrLQMDJCV2q9Zew7icUXijr7Oc
wCrawj5mHlFIVHEBUAj8ol3V61XTxFqsnQ7v4blIeoHMBREd5TBho2IVmYgLDiyuxmyHoSso9oM/
mJs2F2hc3LbpX50IhfJu6OqWO6criseccaAAk1P0txXtC/8UvSmku5IHE9V+mHsniXHtAyGXi/YX
tto611NOhcMVNfnCIDw8KSGvho33mRdW8+KVVvA6exW8Vpypxl0dLHk9nYs7eK0xaO+CSVHCpgWr
AirxYjeAdC7W0YTScVNW0pTrJlMNJuokiN9dOTX7yuu9G0yB4HbtqgzgsIJX2Ig0EF8e8w9CxOyC
QCq3yIENU/O8Zp3RsTHxenQVKG7uSgFkjbUv60KgosVDZRTyoCMHI0DS0nugU0DLwEeC98LKFtNn
J1HOYLTOXfJc2H7JfWSXxoDWAhksQTFhG/XbHoHYHiUVWt+oiMb/x92ZLUtqpFv6VfoFkDkOOGDW
di4iiHHPc+68wXbmzmSenJmn749QndNSlk6pq++6L0pWVUopJnD+Ya1vvQ+KBotP4rWv0KkRlCnY
CHxqd6UiyKxb4EL4MwO0ARf8R5/H5rOH+GrY2Z2nqBOyyLpS7YDLNXKG9EO2/cLcIpkMcz9HpjC2
xQBI6uy7/fKWlj1NF5cn0fBZNLkOelcx4aqH93EgbFadGYi4yb70kJswrc0/IfHIG5y8IJ2AYFts
K1tXk2jaR91r4zvpWzOKIdv0c4goe1w8/PSZ4bKogXADcXrkUjmThLwAgNUeO9QeHfFzkWi6+Uly
/MzKTL+F8whitJeykeTWeGzIsRGDzGszpzAhmjeadabnD9bVWAz9EiTp5H7XTq9fciVjmrGk4KLO
JCO9Dc4HFFYxy901UoaklQysNlJreILRB2sg92qSmllp4qfeLXK6uqWe0A0Hdhqxjyw4/xf4izhB
SU/psEjmpcnARkEqFKSSDhAii3yC0YpD/F0BNgwWt+nfuZO0vNZC9IeoRpR0XQsJ+GU0XMsPUPxF
nyGQl3g/yTVxZd1XNlseS5wrU8n+7iW1Bvu8+BWSIIFeVW1HHpM2i2p/PNjs13aGJMN1M9SCBJLS
IGyBLtIAmKinBps5oWnpTsbJ8oAtNqsPEIBKzOgg6IJGcM/v0AKF+KuMcNzqLsXrJFIQH2NWMP7K
hN+hxOfsHDZeMe0NGCn99YyhgnTGhqfMNp9r5mis0xgmtaiPMJzEvnfbkuDAlJknGy0YpJkgTFP4
CR4iHnWovEhRno4Rw6K54g3jGmhRR8H7Cfd5Yf5EEec9as81mTymqEBto+qmQMRpl3Eb53W+MfJa
l7uWY5O4nq4xHiJaDe9VJgtRzmpIaGBSdJge+3djT1tvJz/xmsxf0XGsCTCJTB6Z4tol37HTBJiV
kscMWNTR9Vgg7ONscl/Jtq2vlnmIXtMippIG+5De503+pSbCa1clrpudUh4iu7CXmEygoIdBP4Xl
Bwsd47NK6vk5zZE1Bkj70Vi7HLvzVc6jEIy2lxe39JCTd2zGdZadDf53ijn9TaAqfFnEhCijgumF
f9yIz4bJsmnbVesn6tYFrqUUhm3cOT9Moxn3TC2s/cRA4YqRjo1fy+nvW9yCK8NgNcgt7rgcLS5c
qM1j/RgumJQBaZpkzslIPmliTFjwYMJ9zuDCTei9e3CVzFei/TK6QwwNuGUSZdYtyTuhDfjp6HH5
QuaqBou5ZRKP6S3DhmzeL4s5LNc1XDt1bCfHYj0TdyQbJZk0T90cP6ETVlsmifOHIEmHrL0qqAVQ
d69Z8vE7Cxn4KX4jv1CTTaxryRlTTxmtCbgvHGKbBIfHsybz5JlaFHyQ8GPXIFrWIWujypqGyDhR
/URwSi1qaeYAqKpF8UPiicu2ngUDqFQTw/6mT5otum9rYxcc9FSUWhWHf3/1+tdLVah83ys2OgRr
dv/xf7adPfyo1uVm+//AfnaV3LCr/K9V+F/sZ+MP/dGi5GJj/vvKd92I/+Of+8dyVvzmC2zHQvmO
J/60nJVYiE0IjaaDitBkef6/t7PyNyH5PwBHSMt32aD+l/HYdH5T4JrYzlpSsm737H/HeGwK5xfn
MWpAJOuuCTbZU7gv3F+2s5KmhihNY9oBVpUDsZDgtKehxZe3xPbPaK1Yt12BKSwgAINhMrZQ0Bcm
j68r33CNZAcCm+sblX31pZixWd8OOH/4E2Urv1sNy2GwJxYDLhsGh77wOPILmyM00rx+cDA8vxk2
VGvGHPZYPTSyzFuefwn07gqTI81oqUIZ2ORc6CCNax/xA9MYYFADJBikvLLgWXXB2lA8Y2qpyPu5
R91o/jTTirCaiWX3tsl6/9Ss1BKZxYYkMWAZ2EbEI4rQTWI22R2I8/EajVwBBWKlohDbPZ5Z7jhe
oJ1qCG/DC0iFh7fIHr1MfuGkns0D8yIeMI0r4USNIVOjKYlxgi2TttNre7BoGcoL2kVC6NIB00uS
hyA7Q3XxUDnv9YUMg4yREmkc0iS9a9nos2Fg66IaMpcMYc0cYKiGc7KfozE766mmb4Qiw9NnXbnX
m7lFULqZVtaN7MwMfIGw2fyB/Qq6FY9DNrm8YyhVXZvaix+mFbHTwtpxdLeGMU8ZahHKb8wwPrNk
ekjlEQydJ2/826BYDpG+DxkVVycnryH/LBcKEDwV+zEjiRCz9oUTpPIeBxYjYvhB5bxgoRsrRWUS
KoIEbuyO1dw5cgFKbcW44AvTYDTJ0FzG/tBj6iLNXE/kOjrJSj3yUO/el9NkkjTnhS0BuILx0mbw
SYbHZ0ciFuRDeEot+EqfgNUsrq8wagBC8pTVI/Uqx/IoJ6/rAtMieWMXLZL/zm4EiBOWuSTcI7Ie
8pPARIpMvgBmzASkVhJCRD1hoo7RC9Ns4m1fsVFFTL68irT+BFtsTmeuOjii4gKgGnTHc90xK38T
a9GfonxdDDeLu+itMDyUYwbDnXOaCutbjRke3bPZM/WPGZDBbvMlv9iso+qMqwU9XlLr7Bo5CZC0
BDEVZLUX5NpQ1buwMU5Rb8ZnD68iIyazqBkJpOYjyJv264IR64pYrONAADZDeF5aPoV6APtUEZcj
nxMdsXYGD8DzpBf1/JSU1vJZxCjyBkcgo8S2HJt3gOUhok24f8adLLG+HRcRFTc+1X2HU4fnUyDS
oXhnFNLcETxNri5hb6jKSeMlU9NwLPuZcAXylIQsFNULnuCOoABCgWjNYyeokRiizpwNUmZ7izNh
00aFfaNrhsYBk7uZXWhKSETnV1ia3Jm1CqIrBBdmTRsTVIgvNrYnwldjycPD4mLuLqYK815t9Jtc
x8k+Cu3pjVVygdyeLBPiv3UBtzzivqn9truDaElmn11UVyXO3+eW3FfKvJn5SZL70xkLinUP53Ai
esK34DEMZDzjVsmLTSoGWRxpx+wXs8jaq5bop68Oulx/t3QdIcTZhFAe+h98qYM/U9Yw5Yu/Tehz
0YPEHljFRZhkSFF2PidKoItHsJxsSIKswLmzj96Qvq7yz9qJCW3Ri2/Rh5Lr0ptR+b0ZqsFHJWdN
0SHmiQMGDdIR4B0CTOwhGm/jpjJOoS0BosEbz8enekxC2jlAQHYQgzAh8ZGZADAhkN3nQdV5f5hm
y6S1W0RNDjr6NuCOlLli64imfRvS2b3DzFdtfXC5X80odMsXj05SBOPEjbLxwf8FIdoyJ3B5DHrf
CwOHbc6hf3D0yOUZvy2JIb51fY7PSFYpTLVM7/0+pmBtYa1xhBeI3mkeMFJHZPIqu3W4R33L59jP
ou7czLPPumPqLXtr2vWyI1InfCSVVzzjlFhBlYj3GKc5JsrVHKvFA1JBrLe9kCBaPNexjSt7kemH
GsJqOKKa7rMb2woXpMYcOdvUtIodEyihNgsj7/swIbcRHFKZE46FaYzzAld+YDosKDa+UzJGhhU6
vvjzQuvgJCYhSS3ffLJbals95NNqpQSCisw06csai/C8smKkE9ePSSMNHgCLC5EQ+I5aNQxUEKfE
g1rLV5EoAkBsnLSmm6DkhLZAcIe9GLjBoBdPU1Un24H6oF2jAXS47xrHP5aA/T/V5DdvJb3ggzF0
hHROTbJ8p+bM8SUjEacPY1ZT4VxNumI79OlyMks7y46tQ3lPGhFMB5QDiyS/01u/hJIATkH/lN63
yLYpELRlfVDfrkBEHFHPM8iym0rUcBxUNqGZsDOOVvIDMBky9ipuiSJIHi0a+VdsB/45myPf2gsD
5nKKeBkOqte3w02GKfqZSaYHaiOFM7aJMk1g4KR674c7Yu9hFGvehjh8CVXHtEVk5IIOZFOS1VMF
HnjOjYm+JLyDtcEGxO7T2r+fPQWriMSZmHAq7b+rVTRDoOtVc9HRuChq+lVaQ8wJKptwFdxYHHJB
eBHh4ORaGX7f0lWgk6xSHXlR7SA+QsETSfwg3SrrgVZJQvIq9QE3iuoHiHJ2EhNgBs6YlcGERmi2
035LrkkKIEAXhJFM9Gzg0t2z2bgC6sKqOCpW7VEOYpZtYIQgqVm1Sf1FpsTCkqirhrBDsoOXs9Es
od6IVdtkX2RO8ap4Uqv2iWiu5TgVooddzPJ/g1kFrnS+KqZSEuyZw686qi6OxivjIq4SZHDtyL5A
ckWUlns7rDosFLjRpz2q+D1u52fjIteSF+mWu6q4klXPVVykXcpdu1bMNJySLF7lcLLLTn1jd4w0
geh1aZwJRTqZq2aMnBzvwZYLdr8sMZ9zxQjaMeO2urXSZviJUBLxWeSuQjTVxYjS4otAzZFLBgPZ
q0lXvEjYKjIuvkUSXdtol8nwWkFmTQ6qMqvPxrEEpqGLIE6mSB7PRM8hlEt8E7VXFPkMdu1VS0dQ
EbI6/yKxCy9yO4NyDmDiRYZXltbw1FzEeUlmgNK7SPaqi3zPQsg3tHVWnXFSIe+z/HF+mF0LIKm1
xDeIkHFUXOSA8aS7A2M+NokXuaBrI8vfrpMLVlme6u4T8ndPGLa9c5mSKxySdXEnbDuG29uN1Q4O
Zw+8ss53CAIjnuXUIJ96VTE6pRvvMO5iR0f+uOHg9V4No0T8CL/WQzRZ5qr8mC8CSQ5a/3kmOPqz
HxrSiiJbk9fpt81rPwHTTC9SSyub8+tWVm6OrTwy36CdmK+KWm11ykcHPx8wlVWXvtK59JhibTcx
kdXN1spq+zsPSDTWrqIzBXxtvXVh+yGZN8XbacjpXyOZ1T9RLjVv5qW/ZQhMr+uEPQWHkczlaxP1
0fN46YtxrpCSSb34NP7eOOO3kF/YJDXkrK+dNckKhAeu7bZJ3z1Rk3+Y06K2PT15ujbnhrRW6MKl
Z2eRTP8uLr18dunrISj16W1y6ff9S+9vXOYA8jITYCJQuJx566xAXOYGyTpCaF2yr4kWYbDQXmYM
yTpuSC6TB2nzKI9RXj5qMqceufaX44IJlVk/alDMJEvf3ydeQr5Ea9VXIieuQa7DjoSph32Zf9Qr
/C/WXuqc2hQC6lvREMG59WUdohmpNRXhYgkMIFbT39vjxDQEzxnSvoS5fjydRUGEhiVUux3a4WvW
YxHZ94TZhExWXO2vvijntpn87nE0wuUQsUT7UjOUODGL1sS7qjKrjolBhFTAyizB7Q+GJgPlahjv
cQe28MzEHiB6bxXuy2gNSgQoLEwin/UARTr3XOa8PGhvI3ttziq3xYBI3s70lMxTmJOX6qf8hM7y
Tt7z+FXyLkhMRyNnbj2+7zqwLTbQtqWnrw1+c/b7ZmbfJTEUbQpcTth0GSjWyRY5h1Y1/SjCZt6r
2c1P2oQreBz8yr6hafDCM5tb+S2tQFzkJu1MQJHBfDNefIbORKROX5nIYimVGKvlFqgcQIoGVoXP
L9ZBbLcyQqlLYTbMebPhG7evuiZ5pKs3sQnZibKjjI4hW9M6GOJ8DzfBtcg7cYo7KSiGwF+JxDy3
fhyqPR2xsAKEYildFe2NwkiSLOAkSJJzOh5g26Xr6V8Zw9orBJr4UholX80vOmxN+4jDhpVE0pbx
J2Ae5zTEvfleTKUXtLFDhl/NMb9IOIobZ1acNVmHQKskXKFwvAhJC9vAcov0D0EUitD2q200IVQn
ZGLK1DECQw9tV4RfNtsTl6geFt1V7bnBgS+C1g8VzMaIbG2mpQzGoUhAYRyQ34GIiGEoerXno3Lt
Ev8z8S3vifHvCxm2ek3XUXBjS+R9Rb24exCT6NQy4Z1nlr/oXgh0BiJQ37sD0+aazaZm108OyW5O
+vZRhyNGPt27q1ohab+nHXPuvS/9Th/drlwFhHH3WXfLcEcmAqvFQgoWf04VsZeRqDg/7G4UQc7v
8BMEJoprFB9U9om6hkevHthY2igcw/EGCdJVhP2q2+QOMy7UP8Mxs9X3lt3BfaYiF+5BSZ5ATJck
G3HAJ0zFOyjrDVX4J5cbEOSC4Xavks98SIpTG1pFkCcY8IuUCpm0hlub+LFz4bS8oaGq7z0ew/uk
09FXaoqCpUsyqyc7+xDScXZoFdaFU2kFycwu3rQrSCilqJ/CuhMH7cGC5eAMqqq1DrDZ3E92ySa+
HG2frDojbc3DiK/6LA3qqS73aaGtJ22aMxInT3xD+VleqUGOH7ALYSmSvlXsfQLeyOjLKhXtOCTH
70uvWKaVmbmCPBzv3GUNRVfD1DHf4otsPpxMeXBmVONcz72lj9VETZ8pyz2kUNWOSKpp94c6ux89
a75VDqrSjTPm8/U4DVSF3tgtP+aUbCEGRiXEarvwnmdHqetZktOmWgJ24ykHVllnIpBU8j9yYwIU
17G85mHypfEJptgsldPftIpDtFNpRY6z5TjhgaCh6NiZ86HJvexQEpxBImTN8ANaTvdCudsA8Z9b
+AaXngN2cNC0TvbTs2L/5GjkgRBwl3cTHfgjmWQ9EWfInLYNmneG5qKHQeBwXDK5OeAKPI0yqg8x
+X13PVAVPhDZxxjmq5JixyhY12PK20Zu5yDupT/tXbv5MmqBmH1GZYxD1nnMfQzARKxNDzkal80k
4sJDp5B9aXKLuDNR1AHbQH0LTtOE94WPHJ2dieZ9DEjCMrdUNM593KzKIzdJzuxjNo0190drcm8B
yAIAaVz7anakuXekv4A8tQgNROxEjzwkaMgiY4fLzN0rHK04f6PimoMq3XHLeG+sb0CDRrpptqWF
7ALZyTM5DWisEjFMz0pN7X4kPpjrw++dOxTXHtyqVM03Y27g3e9J466sMt8DuGjOyxLV8moy07rb
MU0DLx237wayrWcQAx3K+mZpX5bBp9qLMusNPKA4oIER/KqLONaK31+XUbdz0WhEZzQD+U6M8RgM
juPUB3vJ3G9k934AVE+2E1wililL8QOxVHjgfKgem2Vky5SExi3JesRBhOi2Ux6siCVKpBtxXR2g
0g1bNPEI7HL3tnZCGHEd7UC38dmjcDiPTnJFMkd5coX2fojOuscAPm5btH8UZOF8Ty6nQirczVsT
eecaY8/8yKgO8ZR2JwW2JNvM1aJelSycdydj3t/GPEmiPrlym64+EE+Xw7ulsAUF78zfMNJaL+Q6
iJ+j7g36Ad+5RyZ6SPE4d7fAHbLxJh7qmJraiI+ov783uEnbHcu46UjpPf8k8bu4z1pHHmG/NzvN
Inx+EBmgxX4misfrCFqc5zamkkLHI0+hcNnaZWkCUcSjaXkQVoEe2ilNHnq/Y8X+LUfX8196tf7/
XitYmN4xYv33a4W3H233PzYEGX/kf1wr/OOf+wfOVPwmmNwLW7gu7jvbwhv8e/iT5/zmSd9SOAmw
fvFXYG3/yTN1fwNGB35Z4A6Rrrty3P6TZ2r+5gBfkp7LigLWAya+//iffwpdwjP3p//9xxCmdWfw
B0cgQRb0+FL5mAIhIagV4/pH47JrGyyaKeXpgPpszyKWgUCkEqQJqMG6cj794ev5CwOi+Qufbn09
iAawUjAj2j4f5M+vl8optHzhM+bLWtgiMkt/rLaPh8Es690Ety0owoUg754/Be58Hjx8p7HTvy6w
ppm6S26zIQTL8TfvizXNr9+DLT3h2axd8EADif3T9+C3bWLjZvAOo8y/diXvwxwND+GTc5Sdffbx
fuKesvAQE0oZxPONo3tx/tdvgt/0n94Dah4phFSmhZf8z+8h80ALrYOfQ42n5kD/GZ49M6me//Wr
/MUvTsnsYRJjX8Vg7pctEvJlwnqW1DtYeEzBpLx55Akex4SBKpTm8W++2L/4TDTzfBqbuZXNhfTn
z6SlBp4DnfrglwTHolsjoLqv5d+8yi++1vWq8rkjfHZtGBg9+ctVJUPqoNEJ3YOD7Ad+wkxplPeP
Q5F8/7e/PPZ/ipEEn8dT6pcXgqDHN7peviHS2w28d+IHqFYydG4wk27/L14Mdx6qyDUiTvzyYlMP
nd5tbfdQoQcj6c+EljJI2oYFO/yUquO/frkLpOCXs4DNiWdZNicC59Qvv1XCBnPRbuQeGgPEKh2j
fz26oXgEC6pOFWYjaplGASIc5RHpND5BdirfFJSgzVhOzWOakYxolcUQWJkKTSqnBpKi5eUBnvfl
viMpvQ4IwfWbU5+WydYqgFbhF1qwl1WrXYxmwQx62hI8Dql60EWhf/cm/7fHnfkX97kPzET6zEa8
f74eGUHJ0WGlcYhKcMwpm7LTzEJlS7f1YvCgrdOQjZiOfrIVqHe2zOQz5kbvb77qv7peWRYDizBd
4Vj2L9+0TqkcyGv0Dzl7uNNkJ7clW2nWPbH6G4LLP78SC22eH9KzPIfv+pdXiuu4Jcna9w5uCA5u
WtO8dFV8bWMhd//68oFK889HC+NvYRJNxtLF/f3v/wFb0xSmZbgS0L7tD3KH8SPB7SGneynU9AjU
MA+w0z9H7P52ad/NWdB5aOVCBeEYM9Y0Hv22zg+z6zLkbntHPZFU7Hw4Q+MdR5V2WLqafn5iYGtf
d91QXWXo2Q8YLXGhsY9KwVl6PtzpnqZIFG5/Ev7sHevYVntflzPB1C3rL93IHRwh3+QPCvBYDgum
8DB2WBSjwgxv+jh17thPTOm2jfFrRoyBA0bXyR1lfvqBHL84YVsadyu06jj7IDGALbinDE/nF0h/
9t3IuP+4tHa7NRhabhxfq7MnZHhjpjP8qA63FtE8p9hJ9LbFUbxhXVI/4wuG/8wO4sMDekasGAFu
jKsa9M8VshwXP8G+hBRxTESXPhkY+u48UUAymFwQWpme2PhPo9UwMBrCGz3E4Sv+p+QAG9n7rkbs
RqgrrffMSN8Y+BIvnhmVuko7TVCDtm7dIg6YiRwt2yiO5UA/xgkQyUfT9ECBWbHyroRttXfLgFAu
QhR2aBs4fnwcOM8Dg4eQ+UzQgkjIz0OVTGLDKTVf+72/biyw3/RBL8Pe3fZGk0ARG4cflEx8J6NV
XscxxJMq783bpgvxnjmW7E9NZbdvZlsOrw7BBg3TEiZ/m1AL/5WybYZzXPrdC7om+9QT67gdm8bY
ajpZ0pNUsasaAV42iTxCaBsaa5QPESFEmzS31xX6AFKH4bRGXsjvDSyXr28wWucjVBnJAvy2HEID
qRZ27TjvcS1pz31pv1txI1Cmkb5yh/xJEKGAFLJlByFab8vhQfuh7VmDIsTS9jq2Tpe/WlZewgwT
KVV/ymdwQ4cr3h/S9gmIRgaQLR5rejlNBm+rtznaj584gzCGCaJOooAGJkwPHo33skmzfr6WxBOe
F9WpihAF3EHoHcUmxgRwkAsFDitNWXxTloPhGrO9Efi2bk4sE92NFWX9cQjFdAMWLko2qR35h6qC
DLvFOFIEBEvfZv2EY9Sq2INNJZa8TTxqjISx15GMy4Qq9nHvJ8s1EOZ9P5jNmfWmvoqQcj9hsMLp
k8z7qXbjZyn8aQfltkMvNqnjaFTR3m/wgHmOKPh9JwI6WYWxCGaGx0I+79WeUbn5Oliee2XNzY+K
Rd4u6Ykg0XHTfPVDOFUUqFBmDXMFTRmEELNVRNBnLs54MDxlB00OzZ0xVnYDohTMLX6tU1xqj89K
3JbVJsUHYAPkY8TiHT3M8p9EfDuw69NxfBhSQSvPTwzYzMJsmRj5bpyH+GBMPIUpRVm7OEX3gD11
PjKWLg667b0d01Bz7wlI4IX0EcZRIE6LaV+Fckx3k8uoRvepzbzlHCH6vWorfPPbgk73Rwv6Zoty
8wWeN2ptTZinkc3yCrGJ/5EgkHgheaMDAB9BLtM40qjKdXgEL1EdYzCTOwjt3AqeEZ2TzBwCVVMc
F+wvr6J6+MJ6sD17lci2PPXYO/R9DzV/KW+63Flz0uxxCaoysWG86xTFoJFDjWUQGUwFhbflLLet
1cQ78tCWJ9m47U29ZMm3KeHEFQZEdR7zyQGH63TfDtV4Ym0XfqkjEW0Q7fiIYuwF2tFsAGpyl5uI
4XLP3PRQtcW0JUaKLCB1H+bFoxBZfkLcoE5jj081ZDQWLUQn5oRkYytX4w8kInjaszorFu41w/zC
BtW6sfP2ZmQ+ESCUjLbTKIDK2bN5nXcWk1oWFPle5/icnLwa9xW8fnQYHQ2FCQV30Xp4DDHnJXu8
Fu0m75C7pqXxc4JAU4yu80yRtBxAxTYMLbmVFRHhsNocyDCVecMC7aFO9LWVlrgQTKPeLpzgB8S0
HyYUbibZuwnIMwcQ+X+NTTRo6xJGliz2bpIj1od+tG6bsQ8fSzz4O5eYu6vUs2/saigD3zPwHVkK
Wc7Y478idxoHF7lral7uldMQRDuWWGXVNKovbJmmHbOwee+ytLK2nojCZGuXBoKsai7rF+qy6UGW
CQJyZYUHnYywDThsboF31xuzMfwn5KjOu/bHQQfwMwgaz8mInDjOm5TZHFoTN3BJmRYMgHU27FTF
N8LiYHHvc6eE9hxxeL0NsW6/SYOx9LZxiWo/waCciDUvcWx27fJzlgmRAgnT89HtPxiCIFIiHnvT
eQyoUnAYW9PxYWbNUEAq6CMcPrfchM1hSdtwi/wue5fCas4SA9nG7JdlAx6oCUhii2FpZ1AqFfF4
2YjLagknRFT264BSAOqx8WLlY03GmWzuFWu4fYtsIsNAYZbYnRWQgzRrcziidvMklXhyk7Y5VjW5
6n7HUKtjDHqe5tY+Qj4DghimMad8XzYHZIPiMDQwKFBwAMgrTWMX6pZwplrm13NXyHsSfJKgJKjj
vfLsdtfYDkjYOb1ilcQwrfWrnzyQkh0Mi/y4KDG8oJNHrJ6A8fwBiAjddUVaUpDqdtksiy+oGZ15
D2WkOgIRK05AJX5WUlbnaQzNJ8v0m70W832ih+w8L46DuNVC9maaxvA6ZFn001kySHj8NneNN4uT
6zTh3ih9EHROHu1bcgCAj/S3cHfxOSU+4Qz4P3DLpz3w30FMUEWqeQtQKd1hOXsgHcPbotKS+8Ub
pv0SOkhkIjsqz6nDleBNUuxNq8chKtNlX00JxL05Yc/bFfj2t1NGbkXvhNV3NPjAGEtcBvuy4xvx
VZofwtI3T3YMl72O1VVm919mPVU3UzXdTphiPqGO9NdNbcHJNCF20hve9haUaKia7YfVKudQCPxI
hTMfssp4ZfmKHLFfahyIZVieq7BgiFpPURD1CnRoO3UkYYzVQfAQPDJ4PpdzoV/sOvZgYngSBdig
P5tyXHhyUxRsZELsJUHyzHklZ/M6oL91iVJ6IOEUNruoIcQUcD4BXucVAQz9cD/F+q1m64tEor+O
JaSCYh6xaXJuE1xQY26aMHdPEKiHajlABQMijnCmXWr3Ri74f2WSJA8U9kzsIyT/hHax3C8tT25Y
Or3i40r28EAxWonvpUqO/Wh2p7zHtOHGrcSN60Y7zwRe5lmTfewSZznkRgneCpt9BVt0VvOc4NMx
vLNfTWkgCeM8ksKGxB/PXU8uLy0UvkaG6pTy2c6L/Gin4jQ8xIOPOIPX3+hiDVBwwi9ugTwViSNu
LSauS7ocCdN4mTuow+0wnzujf/VSOdzHOCv5at/9DkScFRvfvaR6lVZ2UybqKcIwgK3HvMM89yPK
fmCZGA5NkiB6SSKiXZCKsYg91457nTjmDa5JdByg4q6BZFxrrqBryErZIRwt73s1uek+ksWWpxRy
z3o4WKop3hbrk1FcvvdkY27hihds2BH9985s8AO2yXNfJS2nWPmiEf2rJuU/zUdWh1+nyrmOzfzd
lvhy28ImZzHX6b4s4pdY+kenwAPmpe/4aE+4oPKt05a3lsp473JAFFoPhJ4OM9Dq1a0gjT4NbIf5
RdxItr5jsx9V/phyV62mUlIkxUmNM/TKBiseq+uOaXHQpHF4JFVouCsBe5Ek7LY/ujz3GZqxmcIt
fsY0qvZDOC6HYgy/ZRYJDop2/7lbZVJrk88tiy/6e7yY9b4giDYCAbnXKBrOc5YThYqoZy2lVLOz
LVLF49zrg5YQl8ADVYL5s7yRtp62bTlRq9QgAy1ElwcjokUAEZPR1RvUMHzgVJJdiPEkXPncZbBU
/N70rdWGFf+Tp6I72xqxWUv9dSiWfdtR55cYtwkPR+NEBACegIiC3vIf48W6sdLwrZvL20KF9qac
+N0joxab1M31KY6Xmod++SI6e9rqwWLrmNZfUnNAkeCyl0+qb65hv6mcKM1F88ye65YfTWevtbT6
exzXxevEMBQkoJMf9Qh/H2latWPZP0MrbtOPZOihSmEf40ip0rMLkB1LWWMETTFS27r6K4yJAc+M
4pOKFMVIOtw5EE02cWFVpEDk/U93jq27pJqo7kCf7mf42HswXB2pj+KmpGfZp/Q/5xFT8NgrEA9S
3+uOBsOpveZLXBu4+OKwPzBieWp61pYhag9niNgrFd1d2xj9buLs2Nlsim8AY2cU/RN9c2Lq5naB
oUPm4ZTtESWQ6lzqNzbrLEnA0+4lHptdFHY4zUc1PUsD+ZNb1tSSJFHto4pg6okPdXa1mwdq4ieV
Zl8fJVbVA89bcVs3sThFVVaei+aIzJjoq7KSN2JucrIA+/QmszxoK2alXr3J+UEApAykLInMZqv2
BtKkO+J3MnCbDvrbyLV9j29L3cyJRcabBQephkx0mPBVbnF1t7dO35JHxBiHeIYYdUiDinYzUs3j
3jJb94VgddJaI4CYAgkjIevM+La51RZiQ2xGfyKZBuiRyN/nhlIxYuL1PQR4vCMCcsZmRynU0SIf
/NSxmFWn1Eqp6I+qKR0ITEqda93N7/0y4+7RgJ64ffeiJdOXJFxrN6YO2ExwBPdgNFOqxaw+k7k0
BGWrHi50j4Et2s0y+/5RDo4JqMIFq5Iiua5km9zYk9anVGAc8cdp73Oj00sV+goa/oC9SFNXOhbS
3xG1QVpC4XAAWgfDEsanehn0oZ+kOhR551zxOvOuT2BhLg4+AjZj3jmE+8jMBcC1lVDN04A9ja20
MGCn5lZN3ScRyeMXM4u+lv+LvTNpjhtLr+hfcXiPDgwP08KbTOTMZCaTszYIUhQxjw94GH69D+Re
dMt2V3jvXiiiololKhN4w/3uPded83ODi+8V4+gX1/H25uMAihlAav06oSh7a2StOtF282ya9it/
rAQN5AMi64F7xByHpQBf3IZIbuZIcw9fVBvfm7qGNlS20toUvY4WVGhwujFZUmBd8vhUVb214yqk
ECQ1xWsftQZMmqrG9so2HWa0NdKzBtY8rrhbTalTPqBVlM+1NvgYaeP6g75f6wZ8Q7+aTWNt4omr
IXT0pL1mpv9JnMC/occ5a9JW0IREXZESmNN157ugbOrevcskeJsS2PTGgdp2UGOJJNqEDiHuqthp
Gm1dtfSgt7hGcpziCacK02qCYUYF97acfwxS4BGltPAtrogH5mnaonA4n+5YgRWlT2gtLCPayMKq
L7lFzXCmpgTLIDctD+/WgcfvwRdOTS9TGTXkr634LlIlfe1VBXZCKdKKNIPX8ymnhc5ldmiphynV
xZdKh8Y8anM27dTgQvKynNl9M8pRzzZioC5lQzQ2+a54yFxqPphv0rbVTU9z4VN3metaG248qhPh
NWdt/jY4ds/8c+CmN3fzk25GYlernN1xykTA1OQxdXrWTL+FwBE28Tb1jDGgnBv7Qon9KZO1/Rxm
Ja5ZRZ+40R5zF7pQRRyZx9DI53PZEoZOXY8ctHBnCaiphAfTuXn1wh/UPmMPq96yZe3EC3gPWSbb
pmXt3tmxb2xzYyCZnHpd+V5jMTp2dmFuZtoMpkBUTbg37FA9D800P2ahwtuNlfqMN0vfDIBuV3oJ
qGQClJADvajzvVH7+CY7N+kDLJ0zfRqTwZpY6Oy/dLx5xWr2C4WDYNA2iVs1gkAxxuEc09AWKhla
+tRkYYCr3qASsO9JHBMXybfkH+sPJyM6tnwn2ZPL+nPfFx7Ey9LWlmBmWO56Pmrvjv0b909itrcQ
9Dj9ATfH84sdtnmwWOiX2Eh16Kuk8EQEMQ0lR+ELUZiklUa7QYNFhrClVCELL3OErWYPtDtndbNz
VRTUSUrhqYPxTdNo8R0zgjYQu7KzHaUYGhv5Qjg0jYG6kaGXBTXjDlepva88c922MEYGH+OVi0vq
xpUSgDBO5B01qIzYm5qfqovfMGxwurH7caMZi1dgHr5maYpDOcIXquaBuDG8k6Ebdii1NL55oX6V
Zik35BBpmOo1KHgJBBHgjfkaJlBztLzk5nRlv6mUOoYkh7U1TwssAFThDapOf3Zlan6OlZuEQZEC
UeAMPkECaHWysKFedycQC/3OJQJOj3BLxTAQZ3/XT2b9ivxRPxAG6m7R4HVvnu+lFz557sVId1tD
tdSqEXMCBxN524K3LyBr8AvDbrv3Z2OEtRHRmqr7efiJBssJH728PpV0OTDQZ83TV0q6rrvts5JU
8BA1eGqyyu+670zoxoiFNpz1ADA0Y8fCLmPWTKv2n9lLe3sFeQc1C1o31+CsCtv50PlTTTEbJlqi
ycTA58otzp2dpc8ZPvqNEXvNHcGJgdjHMnEJSQdgCl2PeRJv8rjiv94P8mYPtdgVtaFfkEVc/tPS
R76QKHq2646I6JxliWeNjZlf6oxlOjZ1LDtQ58u2DOxaqEuY5wHZeEnLawoVpQzXmCK/+7l9LrvR
fy7HAUeNjKbUXUUUwQWuMb8V5fg6S1zQosvMbQzOUJNLM3vdRetqwi0TVWhCDHQI6yTaixy0JPAT
tEtk92ydxDN+GnrpiyIW267i1tVEdrr3dJ/LrBIgBuEJWgdOsEC3khbb/Fbv2BVXFbQuAETV4FMv
5HU0q8sBh6inxYAfmKpo9xi4pgobfIGOg6IRP1pgWE8c+qqDmTpYf5O4fnTUhEHM7RwDYF0BSWKN
4IEnbyaje5VkYIm1u5bzpEd1s2+ziEskkKa6CqxQtEc6z/QO/tcEl8cjp9tEyJr64Dpv/L3mbTcV
chlU2BWQFtVZy40lv4Z6BCHKmBvrazIbDr1gGvygBkZprlEW62dvWhbLjAAVbicrtL4F4FCOQp4H
J40ZAtsbesmrPWbuGxFZ946JVHXOsQjcGHy6B8e0rGfdjiBpOfbvAnNNDHLV5dJ/V5NXcZDRipI8
1tzpPNswjlD7Ee3AOfBupaoqmwA/uvFLlMJ67nmFX0I9rb8zl9ZsEMqyuIBJMBkxQGqkURGr5Vej
2fohHKdxrzMZeUwKO4zow9Ek+07l/Jhc4V5sykE/c3cOUUwBq4F6EW+9ZpEfkH1UfKSU/RzrQvDP
5eAjQ+QaF6b1iPt17deV/ehX5HCAWArjQ5Kz2w9tR+JLevFSYhCiRniNjGg/JMoAl3u7dES86NLv
vqvSrF4YIoWvRVRU7xrv/kaTfPIpHyesQE6S+6lM5ldsdfEbBaC8mlMSdu9mqzkfqMDiR06P0FrV
MxYCC0abkBzhZ0u5m5JHBD6rEGwpRG7AXozf5BZwXKPbrEmYCOqJPPJzMGWtF80u4oMFbOvcDoP/
nhpLA5srCbdPXnJ0kJkpIte6eltXbfgxI7LwAlR58+6VXXicOWtzqJ7zdpdxAKQSoJAxqUH7ic2r
/KXKvro6FAjsGDZo1sq222jDMQ+kZqb9IIyiVyvm8IBaWOYDZUTwOaIsvcfHQdSPZZ9uq6ourozL
yM2PEXqXneQcSkqzqB8nOeBxxsOO02/Ca7gW2BXPZjfkBzFM3mEM4448F/S+lEMaqWyjsxoSPyBo
VhBH8ydwkroedFlRnVkwSFQJkv5Xk9hzteOaPJprZTbcoqvCTpcQWJ5xzqYQ+KeRtsMDgvVwBavW
PNrKrX7ZTZ9TXVtCme9D59sXtncOu7q+i4Sr4Q80lPVt9131C7jhAPwACuN7ifXkLW1b6a5yy22d
wMN1jnd3ENSS0y3k7HlUgZ8yIH2SdoPXkJJtaIECjsxNazvxErlF8VVG7Qum53JdQhcNoIoSpaG8
0qB4yW6yK3z96aPAm+zipKMHl/MU8VEX6X3eyw5ZzwZ7jyd0GPmQe5o4MtAM9awfU6LukII6A5pC
O4bJ/UR/RBXYTF1ZI6LSozUw7k5xyv4VZOgV22FueHQKClRz6jXYbCgxYxANFUc/qwYwy4pHwrzX
exfBzu3wy9mOG/12pmZB1Mo3YUxE0QoXWqMq2uoW80V5W0gpgiBk004bAP60f5EOUmDdi+lnGpUD
4kpeu7ShuYXFQcqU07TlaU7lLjTYM6FzyNFZu37p/Ogr3yEIyJH/FIXW8Ox0y87mO8MumjVUe600
fNIo02fbZvOKyfEwrrha855wRuJvwDDBMB3iPmy56Ngjcxz3PYK99tVSG4Bk2dnr2JmwihjGnQ2R
QLEXiNYBweOIOHBRsH+38TDwsPgXT0anFIzWSRjlpo4sqmt6w626jYiTpZbHSH+GUuQHYoI2uTIs
8kZA1C7BvR42P9vJndh1hcH2z+hmgqypAY8aOudtbpg6MMTg8la0YZHt2zyzvtK8008ThmAuuEuC
eVJFubMyBc8g7XDW44dmmOeVhyHqGZS5DNOuFBABW2hFz24iQ/lzTgkqoU5q7WvqxgXGaE4TVVx/
W8rwT7Ym/GOK2+pK4YNGmFNwW5ta2Z6nCZAEs1ru+FO2FY6urUBQGTvuNhUJKEvW342nLFJ2JNpo
9LQvOKeTnRk10VNMTDBZm1KDRVUY4C2Y28fbUooPu9Knm+ak4qfmIO1QYYehmEhQb1vps+XGub4H
w+sj/mLCBRhZ3mlRZdzndaXdsLT/lRFjsT/8s+XF1wUuKDZuU9hCLPaJf3AsxJnu1nVMzzB3eoan
3JivLuGsC0ECIJHMZvWLMrT0WVeKrfRfGybE/2SXwILCFNR0TYw3f/h7ZlNzPJC93m6ih+jiO3W7
V61kiqAztreGUacuJGZrrYjwfg0zW0rb98W2Vpmx6vlmQafRF+oViJ01Ztq8ZMAEvNzaDhzjmTeb
BijGwUKWKeDHI6DS59o6ojoSh57PnUwAgihGFTbaoIVTK1/3IHJYVzgBs9fnGsJ2Zu6KMdPIHBoe
mC3WMlKXpIUH+4nAApOxYTKuTeL8TEGqrjVXYZPWWPDTqnQryCmLVWr0rL/46Mz/biOkG4qid8uy
TNTBP1EIBY8SH5/gtI6HknuDfhVipDO2T6dDaWBZGia8GVCS2ZWmfjolsp+2PhGtmoepwcAEQiTy
3XURK4jQfeFsUt9SB72SRANH7TSSSoVpRitGYqXpvkyBFfzrb38xkv756Pk2Ay3h8Sv+nMU59w+P
XsJeUiu/9Xd6W8PaLkE25LScjvFp1rqbAecwUGzO68X0e4RN0f9i4tUfWn1x6yG42dTd8YoN5B9L
fBv/+qf777Y9H3MmWT7TdH2cqX+YBCM0PHoCCn+XGQhVjCIj/04Py/Yv/hjD/x8+BOJ7+vIKsLQb
f/w5NQNjIcPa3zH+hMmlTFfbD1iog5HU26fJBZ41MoPQTal5EPbKuSUcQscAYTw74dnxL/nkZdhm
eFlquywu1PvoE0DcWduIRH+qu0y+/OuPxvjzs2G91uF66FgnhYf284dNc2EQIUjw7C1Y8pRkDygb
+sLHVRpmS29PLF787FLpSfVOjwjJqYIe61jl8XHCdR5gZpi+YD6Pd79/rv83af9FN8eyEbOs/+8m
7eeu+2j/7dp+fP2S8T/ZtP/rd/6d/iL+RsqPJxFXp+Pjg+RRxX3RUZvi/k33LUDzPKgM0TyDL/zv
Nm1L/5swbIeXl3XIhLnJb5JV38X/8e+m9TcGGDzYFivVgoz5P9m0/yzmMBCBcP1gbtXZK7DT/vNi
ASHR52hvqx1gOf9xILFxKauUwlrLT9pPWL28DTrk3r9apJzfO+A/7pAGtSPY4DGa8xfHqv7Hn9xL
B7aXjRfDEchZSWvZ9UdhEmBdJcoQDD5qI4uhcQ39W16nBP6hTjAi8FzwnWukZd3Z6XnNxVS2Vv4e
NiFulQndkc11irq113LE1yUjlXVWhLLfDyY0l8XDR5rDGCg8XNWVN31aQ7Oyugn2GldT970Qxfgx
Vab/UuiwsjbM0tQDJEUiihkuJeDUOXMOrF/oKsow+7cSk/OWhVgFXlGcBFPb3RBtp4E8qpzLzxTr
WNxZTGDJJweSaTQao3EnWwqU/D5zqZJ26KUHhHPXopCUUBoonuZM7YTPGl1DKLCRRlbGMxFDwumX
W9nZDuTkNlSpeegYPAXDEF+9uHe3asTDwu7ILILG5CRBqhuoXeNvaz4qT0Oq883bVJAJtNO8XOd0
WIBusMQFmyQSKtss0QEG1kPPb2wbe0sJab7W6DZgmtim63Y0P2qNnS/yxYmmQlKIOQ4Nq91RSbKF
nYNGvmzkzNB2ZPrkWi61WTJGo6anfoCu0zd3el93B/LrLb4++ie7qi+CikMl3Qp6ue4jVIluSNxN
hp2YQWBIWt2O+gPhe2NLa7V9EDpZfI372Mbg1HIMdbmcaQjIz5BfGfjTZ5CFac+0KiqOcZE5O9/O
w6Cdp2Q3Dy1xJ5jrVHZwx2QOqomv2lDRvqdUPXA1R7ufU0URBef62zTnMgtKkQu6MvuEO9dykVwt
CJd0bTMFiwLhucIPMs+BVDhYQn6AxgR/Us8W3zsKEleCXnhngMrGJwCN4gtuX+quvay2mRrGQ39D
ebtDYqzygGRYcp+amJi7qTkRCdWOyPX1kaaY6rXAgMZnnbbAwXTijDMRKhziay5zVNsz2nOcdQKK
7low3YKuF9oGUgATssDEs3UvwDegVxhWfpfjDN2NRp0XOyJD3mOxtB+QJxZ60DjlbG5szSCAOxPm
PuutRRpdNpN6MMk0bUUUT9ER9QaxBfyJ+y47b+ImZGbzPTlYcBYN0MnbNHj6Qe8oAl10zOJu5oU6
cAQmdhvrXrQXfi6e6HNEs8TYn3D38xZeoAX8ycJrU+cXq6jUCzUZYGvYKYfHzBlN6xRpoh02no2s
eQSmaPyqGoRmxyqMlwz7ZL/rCkN8418K/a2wTIwJFiBx3STuYWs3z+mGrUOE/JRJjyEdOYkW3avB
IkY3MzCmHhsRltJGO7W1bmxr/geaOUrcWz+DEuLnKyTF9tolFNOXE2WfsojvDJXual0TW+RdSvKU
me8VTZYXSrmToBH9HRAreESTk935HW6X2cDFYOo13kyOY/u0bu5LIKtX9KqvODMcXNRtsQ67PNrr
qVufS9h8W4xJ/pZW33obUY9zjUOt28FY8gikj+amG8bqc3ZaatsKzbnXpzRKgoLW8rtQZuN3UYQE
XpPBTE4+TpOYB9ijY3suJ6bm7WTTgpkOyRF2cX5iJnMZXdweKxtDG80FILycX01Fw0GyYsohwH5g
1iDv9tYV0absJGgrx7Cfs3jilkoZ7oNvGXqzgq3kBZ2dKESQ+RexddYPWQmxjZfsqW9O7llBcqFm
Z7ZWPozHzVBEyaHq4uKqIVIzabZ6a61XQ3jDb5VZTworKf3fU9YdsqhRPzut6O8RVmW21LRWMLe6
6eJhT15PXcUAJSUCyZMVUmeiqejTwxQbaKXt7S1vqWSwXZIPtLQwszZNzL4ggG2+R5wuQM5xlyEK
D9m9CjFbD1G473OcHcg/xy6P3XONV/XYO/Y3uxMW+4oiqrwF6EX4FoD8IbWycV2HFAVt2nnm2JjI
yCgDbWrarwSLFlOBrNXv6C+U3KFoqaDbo9U46HmM189jrG7JFGWvXdJmm5yZ2i8dVtSO6fQIAoEX
Zmc3ylP7uua6u1FKedw8soJZCvYpNRrtfoIIC+/BEVc5NuEnFcGGeITbyjLbzWVM50Zn6VBEW8yZ
Qc3pgCCyQY1pVre4KcH2rNNe/6zBrWztQmLjQbQ6uYkfjG35pmEqL7BsSHMMMoqM3N+RaGOXFD35
KkqzPGNlNrTdDJmJCSSk/Pfele4APcZpzVWuhgY2S/kQWvBS4z5pA1kX2jXvRHg/aovvDlNe4glG
3G0SwKfBF9REsDCjA4WxlHQgo8CuZWeyW7WysgQRwo3PvtK/Gnf8ObG+HwbpclTQzemQzITUNUYL
ew3mAGMHXMsmFrray8cNpB9756moXIcoq7CTI77keBSn1I5eIgv7EVc6HoBwYHmOGN4OVAsoGJJz
fCvGetowI99qQ7hJqDNGU+9NqjdpggPxbeBjdZOvMQLLzv2iO+eS22qiGRQwjmMGnbkxV5EM212N
dgP4xRg2nAWttUS6CNQ4P4e54oMsKtqKsVCscnxl58pTMO1l/TzYsfaEjNHuO9/ul6MGMC0H4Ejl
eMaOFcg7RTZmNC/DMKD3hHvsUjh7J8VrHKf+VWoTr29higtEOnK00MrWZqtGrDWULG+AhkYEzrE+
WlZLpp0Qm33iuCDfF0YRXBnfpgedEfuVBlDGqQa+q01VhsO779K15mJuPCG4Zd+AM52DxpZzwBg2
vJJu5aJijpXaDraOM0aMPeFbVw+/9XjG8mBDmieQYdYB22y405RHf3OVGPGV8id2zixS+tGJ6AvH
9Wd9+HhN7hAkxkvhA1RYLZAKCsZ6GL+RXwBnUyotjpHZJ4+Rb9gn3VPGE0mL8FcuQ4z4NcUrOxp8
k4yFyQgPaUerNfx2aC7zuDSLWlpy5FWRMOfxUUe7Cvs3zj/TeCF846+QfhQzj2nEw2Tm0RdjNwID
ueO7FV9CSfCWyciT6TrpPoGlc0rHdN6V+qTehE2VQw/klJAwx4f7qSzl1pQ9tsgO17K/sWNrfsrS
afqF8l7wmnpZdmsJX998ajyIhiXwgjja9uuBo/2WO6J88aZKvw/jsjzGCJ67yQQ9yubnDszzoI2+
JaKB3FPo+cketfFJDYXYKxg6D7DKO06TTngFoO2dc8MzTl3puW9aPmTMvZrqzRLhQWKbJ1Yd3UMq
ce5MDx4bFgVbwYjIBGaXJNblmhWP/k5zTjDHWbiN3bbdVRrB89UQJuPabbhZrHqJHQbcDloohW5h
cR/6bgxopmxWJqUHa7OYOqaw2nwghJIxnSqNZ8tRQJirtrOewnAAWDDjFDeubBHsb/Dq1MQCZjgU
IXlLlbGUgU+L09axSrQnZD+Aj3AX3dz/SJPagDVMX0nikd8xVepsG4grXxxaiF87dUdn95wz2erH
qWRQOrSHulHynZd2vmm+5LRpj+WOFnos4hqRJwwF2cYuqogqFSu6Yncw7wdJSv6jssyxeZjGpMkf
NWeI3KBDlsdphjbq04VHDd/ivB9pUEU0Y5ftO/Khjqe0nV1X6a0QQ/Q01kbyPWuIZvD9Igxeg4h2
favLB2h4xjtitnjqRyKmq6k1/bcFGzXj3UnKx6jQ4i/c3OlRI5r30QgTKhVT94SvoyY9pXNA/UUK
Yz5GQ0UdLEUezW1qDdaKGQ4nBzZpsKrZXRPtmhHQ9QojTf/q8HV/ZADWnm2Sk+2TVwinu6e8SFiY
MQcTeoX0eH8KQPnLtBC1wo6o/aC7nfqBpDem5FAbPIRBH2lhyrldtrh+AWVD4ObtBeTlYcNhPzxR
jeWTu7Ca+j5q8V8FA7PNc6PVtJTzC9SmStURqY/eQhehpRnlvn6pfbP/MLkSrRtRN7fWFg+JpoKI
EscAL4136qYINgvP4YpaJf0DCXv4EZV+eljwpy/wZrQ3g9GehyVnEu8OHJuj6oZpq3yvupiz5TwQ
32PgZERjuBdpvgHHnh04Ucd3oymGfQOifN/zEX4oN1L0omjOFWdvuy00Qspd5V4ShgDHzjGJJoJi
u5Ugjc4+OhMsEx99fw18ASKE1+Cld/MpPFUtUSJhu+E5ir0ffRR/aaoYH/oaAW0FPrxgtaaUYCUd
5X/3HpVsMeVEW2E6UaAGM35pPb9/HVLeHHy53WtK9iMgP2Odyx6eFTSigl4mgK8ixphZd/6t4Th7
hYZKFoy0zS8C1ZD8o8Hcl0xznmA1dMc5glRqzN1AyRbAQall8T3gkPRaza21mVpgSZvCqLu7MRTL
dDeqD0Am4geFABBYdcK8mUqx+ko6M/9sJlM8xEXZbSd4PcxPq/ai7CE7VG5DjeCYkB/xwPes6ebA
fViBkm4RlbdZ380fMbGwlTH2Ol0VcEmmLjUpjsAWqBQqBmwd/y0hyPAjTFjz7YhzGtuqulFyO/1I
OIvdw4udN7MMu3PvZtljxymPRAFcju3MHPxINrE+h5JHXknWe7eu+h9JAro7pFDoY8IhzoTa50pt
lMo9ey6XtZWaeLsSdpUA+4GHnYc9xRsWyMTEHQtU7Xau4/QMbyx8yT1bHu06TF8IEnBBjZ2CmyCh
Da8m0UjLiHF1iUkeQ5cQuab6/AkAl0l1SlF+g4QiTZLopfnkcZ681wv2PAaHofVFkzo3rL7F0adH
0kdXZMS913jQjA19YRpWX5rQX3uaXSh+00T92o11A6jFH43HjKK0J7c15UeKCW2Ej9Q3ZUBEpnyT
Mg8/hk6n7MSPWF/IHrXOdWb1wx0Mr/QOryDjx8LBubwlKRJ+RN3A/cruE+tTOaXzUpnFTHuTW32M
g1EHxDvcV9qw2zU5qOou4qSWYPeYUn4gSlmy0su3CY0CN19j9Tac1t7zScpLa0AQJOfVfZAFVCdD
NclKml64oVw038OoAeUNZe5OAmFfVVFCd7urgwfNCu1m55m9hkQYrgx3jYFcVYQioYjiM3DGe1+L
YnuvOfOwRAKJOfVYdV/w6VVMDmF8fitdeFu/1afNxDyPDOFM9zXko2l6zbhDBuRl7L10E5jf/OUj
zgSCTlMu/lIUW04B7d2kq/jd9BPjyU1LHqDEmPkZNFndFrTiiBAUlS+iaL5llgAtadyp/CBhM32T
rCN9ZmssQ6E2BxS1Mo8F17VzxuQzixC2DFC5QJQ+gI9PAY4SfT10GD2GOKWQSfkvLDLVMpF71MOB
mEmfaKco7Ty+TSCkvZ/btMJWd1mPcS7uvVuXSHEJrbC4g/lragz0CNqsxjA72F1ZnmDxOYdknHgc
NES/41y0fRXksbVsU8UWF2UT+BSAslVJ3jQadChp9M5JNMV0VPhUUixNO7iXo0+MQgzmM/hR/H46
eZxYt8+KGxRzSau7pZN7perUwHg6DTdc6JR8dAb1Pj3mMxIHviCQabUXmxKgRRN6p0uOYiBaZA0r
yLQyvXCyY76qs16dY5A1qF3SjiMYLyJi0MPFc+WOs0B/m7uANqL8Rc/d3Fn5Q+s8cDTIqZKJs5B2
G2a/3eDKfSfIV6e5lQSWJL7vhRPvZR76DLtIhm474hdYhPqqPYkWLZEknBm+NhEFS7Kt6TRc6pdS
ZmJy5QCmxsaq7Acr6ZszjZA5M+YmvEIfs87670an0K/cE/FXwhNL35OZTPIEIKo+JXTU3Rwjr7fl
AJk5MOnUe6NpqbsgrkkKtSzJkcZbiqUahclyNYuaIksx/fSBmAbdUkVFZa7+pc0RLtRwDh8dViYA
070p2I7IsTmzl22jtI+2ra3PlwVvsYtNvIkrIy28M6Gb+mHWMH+uaJLgX2lWuXeqYf4Y1VI8iM/m
mZgZq+BYyQa90QF3iXiFMW/p6OJOYL44dMhhe9MVZy6MeRYVX7gl1IphPD6Gpf+rNbVnr1P05yzd
YMZUUBNGKdUI5zsfH9zQzNfN5GmHbmkW05aOMYq8mh/60jvG1Jc0cZEmLMZyz3WdSVTRXJReddsW
UgZ72chGyj/ah054xR3RkGFr5WynQRmnUMKmpfxMWDHvOA5BGpW8Kdz1WdMabDymujdwjL84zmy8
eAMZWwIycIVRrig6UU6abNycGs6VGJL6KZMcxreJLceJgo2lpU3L0fJOtHKZSLJ1xby0QPzApJpF
2ivIPUKXIKnQnjlE07aH4+I2/66Gq1wneYzdGYdGjtvSXc22gy88bZL+O3WLeYf5w/mRmbNz8363
0LllrjWblE6KfEsml3UrbWIiFzltI/0aa5V1wxzEEXnwE1JCmefXr72w0k+lYc9a+96gQxiQLVDr
Gan/KRFz+dZYIWHZtGwugHoxI0V2Ix8IoVCzZ4JtvtYDQpylRHFhu3m3DTr5Qk/S8Wn4/g+totO3
nkaq9BirH6VnFi+ppPCGvooRnqETm5upNGirnroDn8K8IQY13juJdHEtUjr5SHifbo1wmp+QL+2j
15ju1ZroLII16GHA6Wfm1x1IyC9UA8deR6XpA+JqGR1o46iJQHOHdo+GDNIXFvf4Rk6WDQIJdTp3
hXA3ffyQ1DhtA7h4/lPWheVd1OK8zJw2A1ZG62FoshPsJdsMBUQURnx6EMSqdQyGDzp7VSwWslKz
H7zassZVPUy5HyTuBHKps1BqA1V5mL8tiwZBthHzmgu/e6CtcH5FOB8eNKcnFuob+S4phdx1srae
LfhQF6vuxCbxNAIUVULlo8xtMPI9U8wN3FfnR1dn8XsyOvmp0wx1bTUThHcBsZZssAc0j68g59fY
M+z7KeGUte5cTb1hxKOP2OFwvY3tMd3pcTJeRr8VhL4gFJewyhz/oUrbWVtHtbkUwMQubn1hGI8w
i/HcYNwtHkHLmmCxaM3EdjPbbKc4DByf2BgmOsu+bytD3pqo0m8msf3LpNnUcE5h0rzP5NXund8V
narxnLMOdRoZp5RpuU+6xngmNW6eksana7PAjBPj2EP/pDOlcI/gxcOfCdHeDzyMaGWYt7l7Kr0Z
MJnNcQmU2eIaN7cqf+VpU2pd4lzlTF/K8SJ1K/w5aN2ywPES2Qb/J5ep7cEyuvmsm+B746WqNGoo
LWVtZwOSvv4lBZTKwK/Y+YZa056dpe50dCg+HTE934mBMtR5qUWVvViwtUtX6uAtTuoG4usvJw2L
oM37gDsEmekOJ/K+FLN7hLtTgIuo8kcxKvuomaW1wnXff5UpXFfsaBNO+Vwv96lwR85oUdF8GLUu
6RTt3erGFQn1uy4lmCPLe/A4nf0k+Oc+zmbLL1h8tzJSzVsEPo8r3lIe6yWu1AAAUj7Y8xk+lkvH
LDtQ4ZGDGvwnbTYsIBJFayYb/A3XvnDlraoym+kBawuM1l6Ik6933bWw3PxUG/wmI6yIhGGeuzrE
cO2VPhX9jxlZbdmQlUm0XsptiCvYwsg75LcspjlxHfupCQYxrOYHigr4Rjjc3GF/ch4YbpWHXDfi
mzTtmiqp0V7DOeOqIap207Zw4OZ4CC+Fmpwjvy268HZrn+NS2cs/vsWhyjY4j8YPrszefb/U+05j
8dXgdi+yPloT+/DWZupPZwfT7GMCiW9H9qJap7H/OFFTAPwwB43gIF0eOkkEZ4XFhtytqTtP1sDf
y6dnGPg6jcMi571etZqk3JnrKxOaHoVDS4rw0HFs/+HGFbl1XALFSoBUvgkO9NwEcps+Rq9nl1Mj
vcewS8iNTEsbMjnJ9o7p6s+qxU24qjtpX+LIdM+DU4mHETmDWI1HACIzQqqWo57xDS5kl+LIaM+q
Gl4p+6X+F9/vJmt787suQ0pmpb64D41Kaska2Z1ATIYfp1jbHBFOveaWr1bElkVhAkeWGIUzM8wB
NyLTlgrfWv3CPLUjd29Um7jpqj3JVC/QXd3aEAz2CMFadMmWNKYxtOponSY9Ls/MDvtNvhRTK0lF
9aBlOVqw4b3rbrzE3/ocumKmK//YhzYHWTdlbmXNPTcYkxKPk8TutzOXJmzvP9k7k+26kWvb/opb
rwcNRACBYrzeqUuSh6QoSh0MkqJQ10UA+Po3kZl+dnpc32t3bsstp1NJisU5iNh7rTUXag7r3kq9
VQqjMKHCDiA+tcUrmx0JtFT2GFfwwDzkfLeuSF+10ZMC+rqzlvLtmKKSn6WexveYa+tzPfY9RIh0
XJ7/QdFfHD8hVjgvrd41rRk57kCGHlakXE3mnBlvNSQ8jIfec9FhwLJw0KRddKUmxHzPLEXrg64C
fK3Y9miKW4rGg9I1z3xTwKI5g0eo8JiGJtXRFpIsteVNiwuezgQJziQJsulbDa4a3YbGcykrznxs
2bQ3OSbAyTIAlrAhVTJf+xgGDldUOtRdH/9dOJIAAhU4uR++mUAudUwUP7iVeGtJ/y617MKf1F2V
xxExjs5KO17mS4l7XpBhWDlOb9UXfxz5a9Kl/j1oy9KHGG+Lr9nQoKPIIj2PA7Ej2p0M48iSPaeO
Dtsl/0LzplsFfSy/otla2UojiOKUWnro66WRHla5fePw4u7yW2F9QD16e+zMXKQbV87jK/tmuW3S
xHgOl+kKyNO860MijWsbfXCraWXZjIDbrx6YoJ+pXS6HWOaTh0kbmmtJTAY7hYtg7bMcPs+5KU5j
UY93k4niTf8BS3IqPgjVNHLreY7gnQVuyEj0jarmBwviEdN1izG8aE5TUGRHzyiMbUe7+EZP9fAp
KpVce64Td4QNeX7Nk7dxXROr4VBJOmP5pzlRXbQSfWu+mngg79owSq9po+W27MxoaVkdWgBWqnuN
+mq+NcNQXCjbWIi/EABsGeTHDPTTR1Zh8A4rr7nk9HXcB/AUmnUV63jTZ3r+aAlwHULhu0eaHfWB
+zprYtLkavcfb1DRoRT+D94gSAnYcizcNP/cHnR9K+Kqb/7eGPS3D/sD4Wh/cW2qfCwewVLADcMS
9rs3yJdfYM7BHgYrJNH0XFx+f0U4qi/AWF0JL05ISwFY/JM3yIKMzme0FOxFQFr/gGz87xCO0vsH
F51nOoq/xpUKOQdr2j9aCbm8F5WBGHFImjg/TBG4lzAGqt8h2pKikSHy+EjTWlLs7SHjMRfN49e8
pXWVNoVvTejXV6OmRp3Q93h2oZM8Epy5CUoxVilXT5wpdnxADTIXmTFENW6CF1t6GLFT48ho4TMp
e/05S9tHAyQxjKUxelcGhmzFsLQGcfCQeInnEXjMAQq3i/PXrntiaIiV86ZSzvDM3sZb4yMhOKOn
6tok9hhtVD2RL1kCSrMJAYlqYfcAqsJWkMKAlmd9Hr3GVfWZzkbhbsIO/Xo9xsmPWCbvmsTQIbZt
OD/opimGoLP28m7T4v/ALTL9MrkibWwoHnegNhxWokH+mCAqXf2UMAeblZXmkbZuYjUSD9dizcaK
vFMUvw7A91YMPKg2LGj5hlrcSVpZR1M0yUviLiXt5jJ7y1xQUbgML7rLq0dTJz+1aplfiPatGU2z
do1Xv10a437kYqR5tw2IP08SgcLz7fBp0CMDhzaeht7NbkPmGPsM0GGxqezAvCntUlBnhzqCXVKI
wVyLZvmcUps0T6RNaq3SLOKuyek93QI50jtKQmAhZzXDpjcYIQ9ZFYUGj5+Mi9+YdckumImII/i1
aXBGAOnoJvQMnyLltv/WSQhExxavOiLQhGug7hT6KJyxGrcqdHMMwa45BOukrTJikLhVPpzaGl/g
1xfcjfwWH7Lt1tSXDHne+dvJmPyHjjUuxRq1HS7gbFfR7K4BnRCbTeLXrnWaK3U9tJiKkolhHYrA
5vJU5GLTaS4VTUdomx4mqPB+QboeSJm4YT/wqMGh+4YiadvN3K22BeVFfiO0fkwoN4sO7Cn6msIa
06IW26P9dtO6tbwzDF38orolP5MODMNtR91ktR9IbPI7hxx4ggbD3lULnD1rR/u3dgiPXsq0I5UO
GKXTbWd2zABE6FeWC2zDtu6Aob5mrfswLmjyLDaxw8XNIWIhRULYvGbVHIJg5vpvDe9BZT/18Nwn
6jjuQLaDkEivucaUlYQBaMXy6ERXJx+Yt12fADKdhF0DhcSWYDnQZvJjaKbWA2Xhxicv5w2TKqwx
Qs9dDIhp9G6mWQNGWIISPKJ2tLJVG77VX9Z8y7th03p8jBDVa45sd2NPdqycKN5oAhbZKnJxn7WJ
sylT46dNwObJpyGYS3X74DlMs5iVV7VuEDJA2x8yjGWr3oqecwuCVprS36gzKzwQiqUTzmF/4xOz
XYm8bNcTeuQWMr7xZtt1QtxuPxZlBCKBPA+X8OUajMGtLq2Na1OTvsavXW4CUZRXM06cH/4UPsks
jzcI3/1e0+fMWybZUWftbYRFrXZPzdDHbM/tthHTVoAcukiJl8MKPOhgWXAclPvEo+8aYipYWUgc
p5QkS0fT2pRkdNVPxOdrFqB55fUQHcyfmRuyKnAmiCTBPQascj3MoAbt1mPkGsSn7rz0HYnv19+d
Tg+/Wy//ntjLWPAn0zTUSiBnICMwq1quR0p0+fO/c44XAP6MIRb+AZWGVUCeyJU/0wyLalYxV4Cg
WcaBXlVb0kTt1YS58xom0JtW4zA4A7t+HfGc7BzedU4Z+A8MbT0i4Jg21BzTzmCtGsHSDIdnOr2U
TSE+hing/SwI6QQoKpmLzyGfyT9NZY9XZKya4ZSKqI/2UegYDW0PiodFUQVnYhPDsFO/PU2M354s
9W9PmXZ54CzkBtqSusmVB96XwyZqGEhWPZ66nRelyWOXGBNRq9rkggTd79ggJ3/QhlWukEd3EIH6
SxYAN/dNa9fHcP6tZLiYVLOclVmcIY1EZ8h5CUMewDFC/hGqeuhTwYxSOfTW45zTGEW/cntxikAB
MpOwtwYiQQLayyYfA3CmhTxZvdt9wkEk3j4wgdUWMZVtilGn2LepIFRE4pHuRVAC0x6/Au8Wx0yA
quP95ylkVyJJKdhohT4v9EiyO/Sos6Zh1YKrd23WWLXgORQvUe3PD07gEPgzabEtm+RMa7L90NvF
jOuIlofvPBRa0DTuvCO4WlIsM1MrkcOjuR+q3vsZduTy4yK5NVkpT46JyaVE3BVXkxXhHTVKLqCZ
pjOXdHqO9J970jlHkCbucVgYhMEj+8NjtNwLI+seAlheK3BB4UdQk91CXaz7H5Pi6YWvSRKI7s1b
PDgZjWDi3c4CccCCkSPoqDrEEtM8ZBEhTJJQe0ysE81u4sRpx0qqN4azF3JddsamZt0D9JAewbhh
Mqu76VJ16jUK53HLT+5bFnL82ykh7jL0p63hQYuVlXjGSQIfAUoTGwRSrlm190frJ2WX7E9q44P2
qCJa4UraV6QKLRe+gkguOKRg9ATfAkRlj8xaOej3GDdfWPp3ZHzQ5fte7eDIULU3iru0tj5LCIlX
5BV7w4W+2Xmj4R1IJr4pr21P7OEI2hM5/wm2Q1PS5rW3vMTP1GKqXSUVYmKep95+GFpGOVetC2X9
HOxl2KGmh6rL0NvkIo7PdmJ8n7Gq7vPJFHdF7V/Z1U209vSSgKgxbWBKlDurW2CWPRPyoJp57VSs
OAsAUj6/7NQGNdgRiuSWsCurtrvOlWigQ03T3rWrdp2P8qkJgxHbiIiPLEsZeMTkcPmg/yIcXXFL
2fc9UMm5tfwhPhrd0qClTfLkAdVTJ8dXElHMoA2HlPOwlWwQfqVDCFgzdcqdDQIHTwcrFhak/Gms
wg0Ou2Rf6xE4X9bL6fuoXOQAZ5zkN3fq2RgPLLReEfK7l7qzCZcWcZL8InXLOgU7ZIS/Lewg3YAJ
qfYGhIpwWyKgn4PljG6W0zr97eCufjvEnd8OdFZYYXzwfjvoh98OfcAPXADABnEZQPlY3pK/XRKc
5b6A1N+t/jNt/UvTlrJ8glr/fNQ6veV5/5f/85ZX//cv57cWOu+fx67fP/73mct1voCIt2wCNoJc
HmP9X2cu1/pi+SbMIwyP/A/Vu/9/5rLUF2H5SsA2J+rJQPa3PIYlv+DfImVHGMMiR2GLf2fmsp0/
x7cwHdkEznnH/kNsi6a9UPR0Nu1z0DdwUJcWnMjEcIFFcrirkBhK4HM8L1fC0NGMg8pOt+wQ6vME
l/dI+029I3Gv7pyCAYfcv4t6ylOMlWO+NboAa2NF2Wa569lkb8gNMzsEFreqspuOOcMupSJoWqOf
tXu3i8xtW5vRgdKv+l7gH/yGztFgcyqjfS4gN+ieuYc9in8sZlzbVlzk27ygrjKPB5uFnB+/eX7j
4BqVbMGCpPK5AZaW2niJXe3TPM13w8RzkWpwAqqYK5Onsi46a0VcxLvMuILY+pZj9xm6iw7OBlQ+
d4VRPmKOJ+BaszEiwOrJS7VMH4FXBvspsn8SQOTx5QGN+n2CosA01etAVva+jJzgI1MpWYzZluc6
GarN2BbzdyMdEsovOusgglSdUjeanvsUI+O5xaBprf0M+wAmSoQM3Om5AiFDsy5+vx7Sng7OCp/2
O0bmgT1iZWxwxQk8jOwh/dZsPsukSL+5rH+/MTr3B9Ou5Ku7tLKvTRUVJ5ws036mfbGDUh43H73V
B9wLhCP3aNOpiSrdqqM2EChXCM7Gs2HkyEw8egI+rs/8X5OY50M2zjza4sxozii/1ZtRxalaSXvw
10beddvYZD4AOsRniauoQue2mm7bNqNBaN+SMIIdsZnZvm6i5b+0HImvP4x7+YgamP+qGQjbDX75
6iWNbVDECBZV+LW1AOatMb3XICRhFVA1aMJW51T1wvslG3qkZzR6UJwJ9LY2CxujKjUOWKPBqlz3
0fQQcHCsWhixcMTqSj40fIlvILd7QRAB30wx1eAIXaMbt4BHgZDNLvmGgr/lGNnGtGPJHPyaKoev
qc1JemwHEfnGGsgkl/xA1/LRddrgzTd7eidUgLWO/hyYPfQ2cXL7k09EtRbFhfhQy4q6bG4wL6nL
nH0sdzuAjsla4mV8jO0s/KXwCLJLwJILcpTEtSoF5oOsaTqi23pusbJ7Wd8fEjyBP2lLnt5mwHdf
ifd4Cm+NsH6ZvvZ4S4cKINYw5+3SEuthO7diokorAETdcM2JjtJelmKlXnmZhAGD4GMfoKSwv5QG
+/wHcK9VvLGHJiyYIkaS7DWXZJgrXqOewCpihbUqI89XHVRA3Imi9jIodb35yaKy5ASOiYpzUWO/
XIeFW6wMEiMnMS2TB/o1vKpx/JDmYB+Bw6oPronZwTSz7nHEVXwZ+zDdzKK2H/ih+NBVvWp8GY0k
fAP+Hx9zxNBjNRHdaWSPUpE5nX/vgiN6yqo253udI3zOuR74PVEO1y0NnFw5QbbGw2py/L7a6gYz
MNGW8MlnhNjIofI/G1myCB47o3uhhjZ6hx6h38MgGbiWBdMd6E39gC6IYjWp/CFhpdUt6DDGPBJh
9g+jQesDtmRRHpjPZnlBTqDNC8vmDz5Jfkgi03xoE2Gvte2DJ1uAmUXlXGboU2sPo/g2Hrzs0k2W
+uHZISNn0aMzwgIiUNWx1t5WaEeEfqp0gGohMF0NUqlj7lklQZ64yjaeu/zWOlcGlyRxxwPKtIfz
PzdpKKm84ELmIgPNYJjsf+rGbastPx3zjdW//9Wxegow29Z/LOfshltYr0PEoNVge8WOtoGJK4jq
q2dHDf45r0CWhrYdf5Qysk+9muEl0Mm+t+wxOw6JFW9VG8Pqmsv0IGNDbTIVaaY6dDPe6s0WcJK1
KqbU3XB9MjBcj/b3LGwx2MWR3eyVBq8AbyO+o9BhvuamI7CCGA2osWDY4OtuHxXP+QcsLsGmaEpv
XA84JPbMh/YDtLb0WbRG9Cncwo/AmQD+7T3ps5EfkwPVNaBFC6w8hR0ap8rHgmUj8pXrbCTNsKl0
nlxDlWtkO0vP7/jC20OS5vEjTtfkCLviRqeKTyVAwnt2heNOfufc9rFPguJdKZZJt5n8DaCkkAa+
2jfzk9e1U3FvB934koxl9CtJ0vCxT6zgWVYj2wnD1P57qNsEZ1Zj34lQNm86z51vpMKazWjO3toH
XX2w2Yy6QCuFsStoZRcMutq95aPlQgydHeAGs74MjWHf0Wbl0jKeiIA4FYGQ2Qz10QfAumOHah07
IivhSomu27lGkj0ql/EnjoOI5rMqaj5NZcWQ7dxhfqNYG0BQR76L2FdaYmdDmLpEMVfjcELQQXCz
L7OXD99lGyY70zZ7xOIcNJif4xALYy+CWBkE6VoIuzjVqVXd4Uh3Ie/4tfy0YO7cQWgfmUtp8F3T
igpXp/faj2BGBRNzIXckOozT7M39Z+7xSEbLHxgIOIbwCBBXtNzQO4V1mL7JGGA8iXQZ3odpZEKe
yZp4VytlrcPGscDt2zanAQ6Ls6uFACho6o1vmP2+orN3jy+IJx1lxvExFmF6gbg2sgCOnD15g+TU
Ol7NT7Orv9II2+AGQHQJiyk4oG+1j5rBZkcHu/vcJv7ChdXWYaY/GjZlF589glMReORjOxgAD+HC
8dZOHPfic66+/+9e45fk9gd9hE0MVIWF/h9J7s1b9/an/0P8CiXjBtVtevzE6tH9VQtY/st/9Q//
8vkv3dB/10O4Ff/zS/r1M4zesrfp7b9QRPjAPxQR+cVlzrccJRA3THu5aP+uiHj+F7wnZKiFzy38
9z/5qyLi0ITlYpf3cetZLvPi3xQR9YXmELXEnB3asFzf/Xdu53JReP4eroAigqXTUiaSjM0n+8eC
lZ4AqKdy1zk0eGDCg6xJJq48ax6J2foxTvs0y/B082Q+Ksvpnzh6PCDGmiNuF/qB9bVOqPmgI9lh
wbokoDHcc4dcK92N9Z4nmPV12WVfA63N+9wwVPdgAUJH7R59r1/Ztp34B0RXUihwmerqYhrleJxa
mD9KhYyxmNNCEEGQd1cDqxbWk4KgkOjrs9e7/WvFAbAq6E3aCjMj2VF4jyabns1gmXfTxGrOTyuc
G2k7NB8ACSrwkmBM6zXfbHgxE5BVq8YWMzREFvEbbUeL3ybzqN/L8oOLy/i+lrE8BMobN6GarcMU
T0g8du2vWTaMeHQynr86svxnD/v2XotUX8li+Tiic9JcvmVuLZLQq4wkzFpiq5SDLasXbFGEZYNy
hB8HWehR4BdcOiJ56m5LOmpMlq6QN6DZ6uFWs6mYeOuzYbkQREv0nmIvML1UBrIf9pF8w03L1h62
N/5EJPgyQY0IBTlv4mm+IW4zof3pvgk9YJ9k8EEJz2YdULmawKs8RpUn5mNvUj15Cgbt01yfBIJD
rKeVb8dKOnslhFtj8sqbTu7E7C0SVSRtuBqMUtj053Ygoey0A6OWSeykrEKU8AouRtH04kUF2m82
PEHDXZm0v+jRxXVBbE7S8HkpG4IGIAeNgzF6w6vrAPyMzOBBj2B0nVqT7+jG3L9aDZ1nDEs3Eafm
zjGznCaUgM10rUy9b+2i/Wnlg3sopRFB7R3mWGyy0sRzQdXDs3KT5fBwS0YC2uK9p0wYdHgGZI7t
MVabuO2ypy6d6k0PDWVFFI1FfMhVx3RRv4yW7JwZeyeAAogxs5ifgyIWu6Eu1ckhhUYIzcDCBhIw
pC4CImD7REt6jCXHae8ZU4OdTnXI/dUCCmNn0D9XZRm5+arO+ffkiXR2Ua5k0ZdY7KLyLL80NatI
bKh2/MyrtT+XpiWStSlLjK6THydHMpUa6E3Qb3Lmq1VWkSsPB53eA4Ucvnf8blFZykDQHiFHwNmT
Hpe2GUNjJmoibo25+0IOIr/VE51teol8+Ob8Ano5/qkkhZeN51ZPORn2vRv1CT/3ZNo7SVh/d/3O
Pmaszq9VN32WPQFKUE8y3+LA6Q405yQ7DGJG+gpT1nnSxG05jaPU/VFNnWhBXTlEGvHq70Y6wTex
rKytY8h+q4a63wG5pcmAlDQBfQURUljpLqM8c203YXbADHqi8tHhCZOPV0eZPa2iLbe7NsweQp/W
g7ZKOPanyL8PrTp4s/UQdL/jHv6DEPmfbAIOrWdSWf/t8ur5M3uj6LH487n4t4/8AyMivlhSOhYU
Xj4fCg0FZL8fjGBEsAFwFCHVI9I78m9WAeF/AX3jLsgdJT2qiMDg/IEREXREUgAHQ4SHj2VysP47
ByOf8c8HI18VqzSAJa6wsQbjWfizdhSnXtxaCeiL1iS4h8B6yLsRamSo+p1v5PozWUYUA0LKoS/z
ifMsa3dD5FjkzMBZ+KxJzC2JZTMhFajVrXV0x5MzKI5okDkVPul45wahc7WomT0aeOB3nReon40M
yt3M693lU1bdexvz8r5CJmbAbcbYeeWmEb10GB+vddmUDenTLg4AXpneGZe/d4w1Ry9IQeVnBzKn
OBNCjZWzt/Hckfr/4InXYDv2zl6qh1cHlyhjfyXnFT+OeCbhg0e9IZS9q40ZPkmONZb4cZl8LXK2
4/AFHA1lMMMziwkcw9Aa3Hh+j5vMxkJoi6rYRIavrn3gxcV+ZDH4FUzi8N3noo0w4sbdsfKT4Bkr
Hye3NFOOj5jO97sJ1xBmO2N0eN5HVnwPWGt4aQoKNrHyxSaoKcJ6g57uxCSGQyxa/VGynflhWBlx
4pZ85H2XjgZ5uiIbuIkLBUtTW5cOAPozDx/z1SgLUI7cuPCi1QMdRghF28YKw5/elPEDD51x+cIz
a1elfO09z0hVelRC97K8mFmM04lfc/Hu9JU60gzH3R/+ouSLBOqwMq2o3KdmIu5l7gc4id1p2gRI
8RmoVKtbh9i/9oiYZQHXpaGrA6LA0OoT1YUmGoFE4MWg8NiPsbHSSUhYmgbh4pIbinRl3M/6jaqz
5KSJv4IKvvUJcrJXEZDJB3sbZq6LKuiTtG7LTYr1lLBo4xxcI49fqrbsNvNo1GcBmOMRN32+zrGg
34O04uxBcoKKoq37yE9NVi7EqRyWg2d+o8FRGm29y+fU/FHP83wiUoLH0iqS65TwQm1K7b4TBhl3
pjW2x5Tx/JAX3jODNz77pgQ/2kcP+LlJwPpN9bWyymAX9p79FouFNkbV95psS7lz6Max3Kb9ZprV
9zwiKCjcke1JPby0/gBttug7mrQxGMVPIA0OzZg8VFKs+4jzF4yES6YpLTJNwBXMdN1X/UEVQCo5
L2XqrioM7M+8D9xrK3LnEeOKUxxMclinLKKJqXVN79mmWCLdlJawvD3/UQxQZ1y4hXGTTU8SPMgh
5TV1Z/LjQ87uMOBgQGI75LOZWuWlY79wD7XvFAuSAzFuqOLwbqmcd3X8yxwIsTSaJOBqGoP2ncsL
Ho6+9/xntxBA+ruYB0XomI3GGOFMD+iB0c3mNg5ZMSB/DOc0fKjGOpQbyqfjx9Hz2NfpaUE4+87w
fSFT38WxrU+TWag7bi4Yw7U1zHwmbArZ0ItHn2KqgzfXtJYHlRqeScTJr5ic9cHR4/TuZ3H+PHWy
bA4SEMM7r+/4V+QMlgXHgYUb+xMZvQn0beIo3NSKVRCB10jsmp2didcfUTm3aqJRSQ0zqMYQCpo2
2leEyO8RqUFe5BIAfaPkU5q31qUxaskXiRWT/R+t1Rvp1GJrNh2M9B5b0P2sE3FjJwjpT8fdpYuq
/CPhJcxvNbDkS1u23QUvlbUNQPzS0gLPSCSZd1cU+RyxxpwKvKxWYJ6doBIHv9bhGa0guQii5zTR
KbVYww0hnmn0WJoDnczY8v5179y0y2/E6M1Hm7KdalUJx4pO1azdr2GWm9a6Z5r90HM5059IRNw1
q4SZQlHH3nunpJ4U7/kEvD4okKGhxqhMwUnout1ilYgI4GfRQfvFHeI3ReHCUMamssYEf1AnDqMn
8puT0PajeOOSCaGDgsgZOomei6d2oLwaJCGGqNi/H5I4vKZAuD9SAFdXyB7pTkjCz3XTDefQyeWB
unbzPZ2BlA8DBq2kYI8Z5co944nndyhD5xKAMCfXk/RrnkXFmZxGMq9L1eutm+fvFH+XW27LzcEi
E/fNiOqd4/XfoL5Xe9760VGkDrZoGW2MJB1+0tH0iavJ3TowGbAqi3g9lCQfKSk/xYZd71WvwJmL
+F4aNl7awDFuAlfaYZrD4kh4+mSGjXJWpTOa2y4zpteJ6rGFuxE2NxnYYJRCuku2jS03c5EB3nfH
Xa4Gbwer8zUzJ3nMqg68eRO/J8ags5O0FzWoAk8F9MLWPpazedx1gT08isFOrrhEqh0Io+6ukfLs
eupHP1YHu2BqK1qSPu3Y9lQPIXN7pbwIdmIeXFAPHrPT0KO+0j4lXKXbJ2fJ9OWx7yHCxPYyINQS
mfxjX9r5Hp391KRBn6wDNdXko9jPIpV7mPApWNHVYWiyt3zK8pOTOf13i90ycfpoiq9kaweqS8i8
UVtv1I91B5V4rjUr8Abxb+0OY3/OIwKgO7wEjIITdkZ85NZnTtl7vOWIx2tlV13EZcYIs3UF5WWA
hd1yDsSyLcfVJLGor+cscT4K/Gv3Lmyhe7jHoFYLjEEAFxiJ/H6iBERemdbv+bYIE4dqSp6JCNbW
OvA7jD0i0ONLEEQ/Qdjq70S2QLN3VxV5/Q4bSPLGA7F+jB086+TRcosbPlpYYREZMZNQ3pg8kK9o
i9yGbjaeGIV8vSI8CflMg9Slf1NfEZHUeyvT4EfIX7wKBas8Oh/wxRFE36HoNF9LdygOoZNtcZK1
J6fJ+wfqasOXlBKshaivflmmSzfDYFc7SQdDgSxR5PEhw59+oD5lofrjZaNKqwD7qajfeeAM0Hsk
QkoYlDefJBeyl3h209MIu/VUg47YWHWNBSxXHQeSq9izF/i1PRljm2r4WRFPnT8Yos2DFyLNUBkY
7NhE0CqQC0J7kdqTqvwKV4meNxVvXMUyt2IWlK2CjMtKxcPb3dOx1G973XxazDXcTngppqOzJZuB
94Moc97Rp2M7xgbB62ZYtXUqS20f02pSB2IZ5Rtummrd2lwpVJs38dYrzB1CHWLcLLH4NJ53c2ZD
XMKg1ru8aoNrwbJnFU+B3FUICJshINAcW/IuHPqzlNMvIVo6JAaOKWRN7tU/+6zd2rNixGUfNdz5
ZPB38FXrczeH9EPOILgZ2NCWGjE8d0HTfZ3snqLmeISiIsY7M8Ss7xLF3FDzm2wC6kNWLYrqlmys
s5rsymcnoeiyIXH2nQ8aLnHuzu+NhxEmSMxkZ+N6vJiQ97/x816Mn4TM0nVVxS5WqNTeqpBlA2WO
0ckNXPdWDZzlAdiBc0Qv4L1UbnY3ERa9meD+Ljnk68sQwapYIYUo2o5yn6AbW+sLc0h+g2GuPmeT
VZBNfO7eGqWgXwfkQ99k6tOPAv/qkD4EWBXFTxbuLCxXjq1xUxXxd0Pk3ZXHZnasZ9pU29r9CPvB
P7hFkm1CO+nvOlIY39nDd9siKRDnGMLh0k1WUl2rqaamtYktOFN5SOdCpKqJp0e3BJLGYpcxOh38
xnWOhnKnR/xd7Uz/bX8qYxcZwwDNYo0Y17TVFvcjDuHScYMHM6jS79r06oPlou5MqbW3Gu7gE2mv
nRs7Yps37JsmwjB3jZtw0lVBuK24N20LbNyb3ndAy+Wp+mYyyvBj9tih9TzwuD8STypi9QOwfnoS
IUZXkhT2xRMdW7A5ZI2watkR30IJUjfvnX4rq3n8CCY2e07MuRd4kr+ZBPCuJV16GTGNnku3/up0
Q/jNw2JAtNExNz0XoqYJj6R+97ifqqPIMwK75fDAicoKBAcBgVzVt7SfGiRz4RUxZlGLU+mPONb9
c+pX+SkBxcDLehiOFsvdk0tRzBbqt0nlZxocNOEGf5FdMDcnRzf7qQfT/xkSgzwmS8MOV1gKUnTW
fExGNJ2zwUGKXIygO6lLYx/k2tyyMSx32A348dnavjeUhwQepc2D7mlniJyyejd5wcB5EcMxkZ1e
4dcGeyharhO1bxw6d+qu1LEg4obxRJ4sbrkvJNlbKvyZb6XK8DDM0QfDmMS3Se6JJRjtqj6agmHM
pM2HGWEEXL74DmjR+JHTKL3DvV0d1DjhxqZ+sPJBB+UMPZ0nHhqM4QQ/QCV6aZmT2vXTHTgHIuC+
Lh1gGtgY1lXL70thuX2d6LHglaVpMjUAzhVBf7UMEsYY2gA/kjFberoASfxCbVoNnX8ZaSpeB1W3
HoeCnrtYrrmemifiqOY2d/PPWo8HHbJr7T0+jRhiFFLaIdOsmA7wEABV2k19HKwSqBrf5ffaLIc3
PKbN1ncDh04A6V/KqQw+DO5Mi4mt6NdDo0DUwmDaUk7jXq05qy5OZ+ffXS/ouRuheQKWrve9ZcD9
9qfRoERUxiYFJoo1OeLYeKmLgkc83j9/L60I06IGuMhVnwbNoEm8Dwq2MSsGraIvJwvcH75jOC4y
nJe+VFyRthXC/V2n5+yVwAzCEM6ugyOt8c0pQD6ScCrEA8FryClI17fQMLCRqnm8GTjqqebQSLSI
CXIbpO58nNlUPPq537whmBHJbHT1WnG+8YhvraM72fmW6ubm6nXS7PERVs62B4UPsKIub53qHHAJ
5YAoN4fDM11m2l0Rc2hZtpXOVvcTmTiKd73vGZW3e7eVv+K0IERBeJQdI1S3B49mTorGrPiFB0e3
bsy2jzb0r/XX0Z3lqQmk3BnTlL/2KuXmigPioeDtvoq6rLwLmkHdYUHAET23VISVERx8HPKy/X/s
ncmS3MiVtd+l9yjDPCy6FxFAzFNmRuS0gWUyScAxz9PT/x9YlIpk0VimzW+9aC0kk0xZMcHdr997
zncusdUUZ4rrqFhoUE7mzHS2mpJDFOxkSWSCCI0EFXZqY4KfqoeooIYlDzJON6QN667DLeZAADEm
yATjqMmsATE5sU1jHQePegSJzq98oEFkWjN5zUx1YdT9tEspz3ZlOfXPHUEUV4cq9K5Ve06TKdIe
U3UQO6dTovfAajmLCA88GZNR4Cko5OBQMRQ9ZjXMmVChoQ0WxtjKRTeUCxgFar6ETmu8dbrE1NKJ
NfkN8loMDcuahic97ix6LZFT03hA9ld6gZO3e2mqQZ3kNrfdElbGarTi4sg5XryEg89owSoNbyp0
LgbMgRegVvMzhh37ZlqxtUNQAdGl7QywQ2p6MsqREiuapfrMB0X3rFiN6RpyhAdLH9R1VStMgNU+
Nl8mxZcoGuBBNAw49lJsUHUKFFTg7vXSA0UTXaLaJHZstN+Kng7I3BOfaFqBBuEOzudQlmqJoBi1
hOnb7K4xpkiAi3PvQUFBtVEaR4Gpk6TE0MrlLo/rtvOyqTHfJZ37xQDLNCAY3iRq0JJK/BmaUhCd
KgDe8akpbyVzeBB+lBzhu/FmVYidxqDDxv2/iaeszB4sGqq/mXiKKa/e0p/mnd/+7Nu8U/tD1yx0
ILbhaLPJ68+eLvYvlemFRiYO2VJ/dnv/NezU+QvTlvkXbVvFMlApfuvpqsoftIeZc8owFvnb/6yn
q9BR/mHWSaFug5k2VdMi957P+2NLd1CgCgLH6DZZp4Pcj7Ni3RslweSRctKq2tkKxiZRTrqIEbSf
Vd8ETMUl5c9nhxl28Dn/hS3B+ZsLbX4fqipbhEFBmDLnbvr3tgQwjBLwZL/bmAg4OMMBATPioJeA
Sj8M93q5KXFNp+JE7C/UAAPLNcDUYxQODTIa7dqWFoEEm6l+nMRJQ7+vRUMB+a0hraux3d60sKaT
dNsjIdaN5g6u/1rx6ZEaBcWR3N4QfhzIlfEGP/OitL4M8Bb62N+pWoHM0Fz5dfqkp8FZipjrREZ8
bYVWebWGHsqKqZysli3C7FDrcFVH68MLuS3tXRKYxXNdF1dtTmnyx00UaJfeQUam6zRe+WJrTcMJ
avZcHfNJXlnBTI80Dx0mJTILgyWcmVyiG8iFsrOfMMbdB1H0UGL1rYNhw3Vil5EdiJplIVvlwzAY
L6R40Wgb4hPMDubJQWeQG5JDRTXEk0PgHbeCHW3dz3mI1ll+lWr5NptqgsY6VkZ1Ty77Wm1yD3Sb
26sqtD6Lt2E66nJs8SeNyXuedB+iJLGmnQhNAwT1RXUm0IGGGm7TSUs3JQwpl4Nt3yj9UcLv71pB
iCcOlDesjoc0CbaVfF9n1tKUNdOd9P6Bge1FgcOlsfXybVFoUcB4wnQbs9+VkXZLbbtcyJRqZv1Q
ZsOXLrW3Qy2/TLW+GAvZocAonoNerEaDOMNSM1YpNTn3O6+xnBuP1yI2SCrVmDUqYBaGpqNF153o
rjz7hB52pnZf4QKjH9/eFPxBivKRp+kJwN++xbSHTRF21kBPVWmI8KxUutl+4uJMfo3oZKu0QBby
kDxbPJplaN5gYsgkxcGZKqGH0JR08xoAsipLXho1n+SmoH8j++T7zYC4zLMUmltd+ETmyVVPnyxO
+3MU9/ETEsJ9Het3Pre6tT3SqwHz2G9BvrlWF+/RV7mkiG6aMH42W/9zLOXHcToXxg0AFYm3JGpg
eZDv1GY+lfppWwTREwk0/aYly7aLwsvkWwfOXhdaygrswFkf7yq7OFqys6wrCrdcH/ODPpN0WsJg
QLRcGiR9HiCpjYZgGrbYwKw4M+KNHV5gOJFymRKaua0zjaPG5Ay3nYsQLc1cf3gqpmYzxeY7FHGP
IPpkEUtKdSwdheiyIE6WwgQpR4ItgMd3I7FXZBox51n2hXKXpqmrcHFOmMjKdrqBXLeoGmBb00QP
TkBXlJI1j4bFJVlNt1rOXLlT0EIRZnjKW2UHxeicqdNNoNpzy9Z6EaYJb1QYnjkZy3HECJQOZ0ut
1+rMYp9saw+o0gvK8JPZ6ReFzj3LST2jNKXOaIyzcILtEDuv0H62ojU+8ljZRuV0N8o64Ac1B4qV
ZHTd5f6QlFK0yq0BS1kV3c+qn+XkMxrXLOFRyVYmfdNa5pvHwMZdfGsX4piKrCc4ReuXmKRwkdG/
lkzjYlT+XZoQoDJmxRW65boLfX1JyqOCm7R4zw3HJSziMcVJavI/oJJjWlwbsUvxvc/D6mZN1dnP
mpcW3PQG7nC4LCz7Ee/sg9X3Aew3itJmnwf+glymqyw5Z2DnL01ivKpoHdrcP8hj+1KO8ROYgXTd
FHwOKuRRyr0KQueEIPx+1KV7RinbIVVKz7ZAnsJCWbbxiLQM1z5uwCraWHa/5V69UVWNqohYoThd
Z230Zgcw5vvR32ZFqEKNYOVnQBwAyNufMW0/DnBqCPzUvRJaI837YklLv/aQYNKaVDI6+s4b4yN0
EDVhvJAW1wmEMRAf0k3NtcNAnJrHCjsRxvlUOtn7aFmEU6cAMeQUDh6ayI51SPHdv3SOf8kkbHm9
fZC7Zk49JjEusnBrVfERsy1Xav1zSQL2QmYY7yqiPkx8rdh0j3HXA5yiMtPBY4HtTBEXMiAkDjgw
6PP5nibHe5betlHazGMceakKNCwjfUuP7OKjLhsZlZz4qPJijevtHj8N1asU3NVJuy4tngfCHEMr
9irTOraOts0nfdfXvZdUOzOE2WHZYpOThiCP/s40Xlotvvlp7YmGDLcRBlpP4mHOJgRUYtWE/rrA
l1fkryE544S3PnWVsh2gFzWJvocMs+m7ggS6zFUcjEPgE7ayGPxFHDWL2HoofZSljY4c6ITh4GlM
SQfvk43Dk24nyjPitTMeyU08OdBJnbVofGAMtb+ZpHBC/lxdTZ8wjpgo6FAfYnqUT7gLXAMJvjkr
VR110yftQbEOw6S5qc7lDUjDnTRpx3Fg5yqA8zkRS57OzoVW2Odi3AcQFMBunEMQ6d10YkS+iqJp
UcnalwaQqaeRmN4myp76bdkxkxJq9hEG+lkzG3LWq42Ig6s89p6Me4jGjPNsR4MbtV8aA3TnyNaJ
Jqs2Kq4MA4swf2aJPHIZ21nJa2fHL8QMvGJycOs4OjC9OaM2XGq5wfbih0eDTWtSuruqzneQs0+t
ExEiTmPISF/TQErcUdLfYZeculbd5MN4tAKRuk0EuNtRNqkGs1pp39qpfQb27GGX3cRK9Aku4zt2
g30oHUmwINZcZaiTQwEJi2NtYuRK0L5E9qIXD2q609gUwt7V2ZZbAINNSsOu9ZAWrXvtOEX2Ftzs
WXbEZzx7kCQD9Og+52ferM2BARogwDCWj3lg+RDJStLv4rsqM5ckY9y3DNHDAB9o2ryExyw5qPUt
0sFeldKqqKNTEdX4NgmQ0zrxaAmLSHqCCbKQjxVdrMnNWmudMNXM0/pDRxwVingzlHyBlXrg5gt+
GJmzUwrCwJO9TkaGaZmP1VC9OyXxS41OvEjShY9GKdWkWTfTcojS26CY+l0/cekyw9pekIxEYUP8
8TrvoCZK1S6OkmXMvA/zn3HBI/oSRCOm0fap7pK1hAYPuWv1WMXFBnEQbv3KM2Ynt9qtMcFh4rx2
jbpgbkeKENJrI70v6TIs/Xo9KoZndUQDBseuNxwQjcPBITY7JKjZ6b8kYbpsxV1TOrs+dS5+I85R
vZPE6JrIxYf7YQpXeb0Kzexc+jmUe7WCzB6GnB/CQzx733IUzY7aBUq4ybkFlvqE/e5etDL7gb0W
wZXMxnWjGZtW6JcptldF1R4GmrWdArqJB4iAyUm8StC1hhKRVU5Y7AgJoW8YhaoHTPLBQiqH3eAQ
39GXhB7iOWVtjjmKPDBHUZVvfIeLRFGuGEwKBXVVYl+hIa9svXkTTBRk2WkZbgFAtqkfYAw9Ac6Z
WSyP5QTpGY9uq+4dCEAiYsvSKUkHyHNlaj4o6bUzPPobeg+BK8ZC7yMRZbNOb4FsScuMod/OsdJD
a3Ei01yZaGNnMapDM/0kkSTmZcGUb32fZjPbtNM80x/K8Q1i6JkEcHVMGeOXrGnsixPJ9hH6QffR
9TkjotiR1wbtFeSBpt/BHYcUZRuDl4PT+GSSlX5na6m5lwmOJWMtNtMNdob4MUdHwISQWPCp0/gm
pSZ8TamGNwkIHmsRSYbiNUWQ7yIH0/kS7AbODi1jwSZiq1hjsLEqXf7MS9qfyLCc3iW6uJvUGJs1
aajKQ25W2kqxyH6zw7HayVmU7qHRVw/c96iPKcwGDJJZfYeYTrvavOOl5JScLVHYg5qoi33e6cG2
lUDrWjg7L9kEqNkfFXsblIDjFmmXkJCWF+WRsKDA46whfZCM1K3kFPURMpq/S6q23jmtxUAopgHz
OFREqKImLI6Njk8og6iX24C3F8EoY/2yG+tRruTxUwF6dR81JrIHcwrOOkHFL4M2OadIy2hclxrr
x66D9N0mCBw8uWYAZ+3C6AyI3bgaThTeoyEd7+reKU5KXxn3jCyHc5U74X7UHzugR7VNar0z0fTz
c0W/EZA6AuUTo/piwM9bDXCXXX0akruqs9oTKSvWYeTAfCU91toQmmMzNR+Gd3y02QXaTnNBp1+f
k1aJtimuIO6QsIudgBlsmDPIU8aM9GTqepQ0BSDrbjKBA6DFyPWIpO0wYMY2X7CzGK0s1iAfIFMC
FUShMfqkgXleDmxPr0wO1FMBVhHYtKXQ1MLFa04ZftZEwBt/HUJCY2noLbsmGc8MmjhJi3TsHojr
Xo4K0MsxXecYlty2nD4ZSYSota9bwy387sqg6GZn09ks4xdTJBvdSLch4zgdhxnbvgCCO+yJ6vYE
dj3PwG9ML5b4GwlO/cj5K1vPvUQjeUR22Cr6ByPZpaZGbzoJFqhrl4S5rhocghmVGweDDjx9UYAj
ONmBLhMfVD0Nan5VM30rZPuU6K2LyJh+mMY7btddfFLl6lGh3eUVUv08TciOx0BQUabmtdO7my8p
52JEEyOxE4kwPtB13gb2eLZF0G0LrEquIRHNQiBp7MaTeh4RU9sqygx0Z55ThsdS9DViW4pyQAUL
eKerrmpIlpRUt/AglLT0G5u8niNU6PLbqyDJgKXVt+/6Q79odmizvv27povNvM8ECMRIS8OISnLd
T00Xk2SaqEFesTGTJ675Yj8NLcTFvlDh6ibjTjZnrkweTHfsT+F9L0zjqkDJPFc+SjMQOFn3bMdd
+m59XSrxvGrGef0Y80oK5zVFkBX58fM6U76uuHnt5cx+Hnoto4GCy/zYzmvUnlfrOK9bpKv1o/91
MQ+BVu8Y7Eq7wGetj/Oqt+f1Xzl54KXpVDJgqZ113/YayUABFAyiCUY3Uyr/go6Rqei8tzAELaDA
sN8wONUWckPYd6n32hWnJPuSQrjIIgjD5kGO8vqB+MR0D1GgQlNSNedg4jYGwEx5UCHBMRti9zPn
fRD3kf1pzvX8rM67ZDU2ArF2vnCKMvTir5tpO++rkghUL/262eKg7DdjbIevWUGdUcijc69H5C+E
mho/dlrIhaHv2b7lsDf35dgjM3Jy5ZPvSIOXImvXiohD/ushAMFXWffzyVDPZwSzVfuYz+dGJByw
QPNZUs2nCv2c/FGZTxrp66HDr5lvA0CWHoTLFE4Cp1M9n1O+lYRbaGuHfD7Dwvk0UzjWxFcfu027
/4Mm4d5GAErAt6rUjz1msmf7qwN+FIn6NBoWTa10tsj3zgDjddTsaFUENKBink2PyR/eo5QCTiUc
bAEMk6iWBMNPGKKDKNTwVIAuIx6pXBFNK21MKXRqhMUWOuHUaPNNjqyDy03eKKvakK3KFc3XV0Sj
lhI7bRNoPPgAA3mYsjBc4lxILnkWmW92iXYkjdgkcIXZ3FdBk1AppM08+LJMPX7X5OKu0xLHdwtZ
NcpV6KMzrLgtLNtSiml4pSYgyoZ5nGwUg9eV5X3IbXPTS/pLldHKaWEFrsVEXTnx+I5AnThsBs+R
/GsUldekQQwm9Ri4gDylp17OGvTYsfOZS8yTZMOc1oAse3Wh3zpB6dlJqoYUuyNNsmGYKcogubd7
UzrYYog9Dvra9eVYXC0Z3aNJWP0uNM2rUKKrXYqQxBon3mSYUZdoBXcBEFEv68IhXJlMsBa05WJM
GOYrxkx6JaQ9jKMUA+SYQqrimMmuMh4q6g/0X/zfyemEYWB1z0ar5LvMAFOSmQNc6ipX1yWuKlfB
3sUoR1/bYU6Oa9ZLmATIdKOZSltFrt6SFsaGQ0NRNpmtUH3cinyYmezZQy8VXMfsJFzrbdvZi4B4
gENoFaTzxkDMm3HEoYkObK2RFLjC1TgtbL1Dzquy1gjVmyd3UD6lAMYKyMHXHiA+RtJYPIspezWU
hArCKKp1Qpo3A2cC5PwpaXmsBHb0FKIKSHfB1MRE/QfZbikT5rBsIoPoGsB9lBYF003twizGdgON
imkMZzGY7eePOR4+zxm5tfrzfQAt5JW/M7aBZkDw1sjPvtWYOvbIadBqFo68KTh2j7lvfSiYU6+x
SqSJPbChgNX/4BbzJdLMa8iQifQ0wVBGCvRTkeMKhoZDmJETftQONUXCJGcRlzXsVoBZTD3FO/Te
5z55AQh6bEg2NxtVLMfMuhCVjigxzr6Y9XSPvRYngt0ijU6aRFtINlNJLh3Bqa7UztUiNkeFCfUS
TzCHVa5XD8QOyjdyJmtur8on4Gkaxs3oZlXJRqnYuCTN7rkZFzArAyU8BJa2RwKLT0djfQ0VhwRO
ZOHSkCbeygDEAh62hOTV5dsQK8gm6IPpGQczl8xgZucPoDgWAwirCdllN5GfEKcuOvVwabXoDnSD
ppfVRMVbFI7aNpBMdCE9ORoEOtVnwJbNpQM+dsF7Pbz77D97ZdZV4lluXpEvWYdyrrJwUCV3/dfK
a67BSJtD5M3g3/W/VmfsuPrNnku2ai7eWr7x/78Tqu8tef+z/pyf3tLP9Vdn3r+den968/79X/93
GPc0mQDO72qU2Rr4zfI3f4T//q8HEcfihxHWtz/5Zkuw/3CQ7aq68Scy468Rlm3/wcjIVBH9WHAz
/jIlqPYfCj4B5l0gMwwDLeFfAyzrDxm8hmxrlo4JELf4f2JK+CkEGBsggzIZsKJDOCIuV2MecH3H
s/I1EHV9pqobHT3SDtQe+MJcHHVwEMhTGNOH5VS4+kx36ItguIk+DnaZkjmLkj2cRhaTGJAz9qco
rBXXR3Vzz9x92Obsj8fUAlT+3Tf7i+rvR/7W39/vT4MueAFmI+wR6a1IKEp0rjoFs8EFDClXLhAz
qBiOjg5xFevfvzD0kx/Kzr+/9E/0kcLU06IqtHEjArbeaWiiUwx2dDWVQ+5FrZS7k5Ogc1Aq2heq
caYlNyzM0gEwxa16iXKgQpCaMRCQUB/kM87aqsKz6qhkdxZ8e6Y2nBPND45+gyxSWLCX4iqTNzVs
hQL+RpWIWxzJBpYvon1IBUjwtsWk5U3uWGJ9y8M0X9OEah+wKgaHuAadGydwlpOCXhWanvxotI44
VuiDXsK2b1xFKnJaDQnQeKrSVVU0npwRDxfK24QbmQQDjMZhSCZQr8g3vcdHiQ6SBAlg/wsfgdAq
stpPUeXUyJJzFe+kMOR1mNGqnwghX2DsEh4zELxganQzTP/cjv1dGRXVtu7dPpGe9Tpz9g1syt0Y
OU/1pBLp5BT7aiRrEz2oeoim4MjgAuU8u7RrjyTGEI+y1voiWXS29dbQmCS6h/aI6kQ7ohikhdqN
50EOjVUNQd9rEXYvMY02OxQSw8pvfQLIseXn/qSthkreVEF+TfRh50+j7zJ8dDvIbhxi3HvKnan4
xiLQ5JJ8Fn0A+Ee+pZjoV+UI8z21L+isD3P2zCgDJ4sYStWC9FajMuXXPqjwtQY9tQ7X33ETpuKu
p8u8Y9UQc9fu/dHhoscVHw3hcJ3JcndDyuxmgN24KMx2hbS42MjE2CmonjwBLXRBgUOZgtHv7LTo
F5HSJwdSOTwjjhSPc9vf2pkprwkz8bc6eAzkolA+Su4pXH3h+YOOwMpKu+AqDRAYyV+UiGhYdmG6
nbQKpkZIvJdoeJoHQ5NWfYGgBU8BsIwYdwXZLWSkCoDvMvcn3cquzazGwVq8LpHzc/O70qVyaxN7
BYiQwjV6yNqYeDemhvocppe1zCzEGolK+zBpC7eniYc80dggt7ZIcvDXpgGysgb+qY005w08tBpC
cridkr30k8gdspJS3rKhWyX9PVGA8p6Kg6XWD707JD3ImaKx9iNRyA+Rpkgu04n10OsPOP9p+gER
Q3kd0nNpo5Np0+AFCaS6pOw2FFDyQN9YXUs9BAdVAidsQjlQB5AoqUNcYLwtU/te2Fjfy3G4NoPY
G4VYNk146kqFrqYxub3VeQOD9AQzDLc0lPztfRgW9g0ntKDnRDNNbt9iQcCoGVT0yih10uwKG8JT
B2dVhuknXPZeMwkU9BaMs1Ilih506gnFV7hWuB2JqLwTvbOTKuU8WMEu8jP1CImOYBQf5dwqgGk9
65Dy+l1RFYPvPZMfmNqsajVR7xlYBytfkF5P8P3wqVODYSFnlcl0ddCctzAB5sd9QWzx+IMdSBx9
hGXUatSLRbICIAtRLJzVtSXJJVUhsq1KTbgo2jpwK1Sad7ZPyZR0YC8wi7WbhIygmddTubEu31KB
BI/dDyCfjC6ycrhtTRA00F9J8roPlXqTJBZtnj6zZMYVg0ybuq3uSx/Ndd9qxUbk8K/9ngZ4EpGn
i4AqXKJflw9ATmhxjLtK1UbPMOPrmEXNLvZBJpmx/tgSieNVBbGXCWg/IlKymoS7ojqpJQZb2fZD
t9EpvFWSpxdRTMmOYFhsAwxaNBwreS0FgmwSGKtsdrXxnGYSbdKJ/S7Sl+lkR5uMa5qrWua0qXpk
VpKSf7GC2RUkmjVNDXUpdXG8oRp+0aRK93Th31mCKa9CXO0K3TqGo26OSZYiZZviOT1NNOf+4RxT
/36MweXm3DdmegA4gB9PfC6ZfYQHAV5gl1rYXggqWmotUg579ntJeGxdUSpke00FvttMKk9kB2Kf
7hx5L0d+uXf6plrkdf6MKLe6i/uQdOewYucjfig7GdYETUKRhRt1BPSigc3AFw+gP6eRjSGTd1XJ
xNIqgi/wPwiebYj+SKv0jvcheUGT4AH9t5zoFwXDj6bLr6f2Dx/3J9NlpCfggWJD2UjMyu7ratAY
VANqAsMxLX//UgibvutLfXspa7ZN8m+6jbToh1pK6aEYYxdUNqK1vjQWTbzR0F+5amRuZRTPv3+x
2cz621ebMQzfVW7M69NuyCN1Y4juMrWG9qSlYbuN+uBDERXUFjNuLm2YhKBb1GnTSET6qnFhkCcd
NEcmfZuIXxKVcsNwtxxWUd02c2wAnJGBwHEh+AmJNCCWjWulq455dkHCR08yBr6fDARFqUS7cmWS
DsN8UJfzka1zdv/+c/7q97MNFRWXpqDzsn5q9imSHioo+pQNwmbI96m5SZlAtnRx/+GFvmq1/kS+
bj/++7/+/Pm+f6WfSuG4GbJQVgNt0wUtPB3f+azAIFgk2OOXaHTeTdACWHBA1jhzpVBYAJl+/1l/
JGd8fQdU/Io5u/JtnqF56X73k8aommWJc2RjlkawjE10iCktNko3U7oImisQfUuE0L9/1V998B9e
9qeaGq0Sm1sO60XSDbaByviwYsLm+ooWgahkaZeNw4lsCJiic5Vj9U38Dx/8l2+BHxlkiGI7Nvbo
Hz854SRQJlOhbDRB6EjNkUjiExkFpk/OtyEBIjDPhk0kHa2GV3b9cvX77+AXSxeC5l+v/9Mu0aIo
o+0f6JsmaV+1WgynhmDAXVqaLGIpOPz+1eabwk9PGp9UNviNFdXgP3/8tGEvpKqhLbgxNGRzChiH
hSBT0fv9q/xi5fzwKj99plqTNYDzuT67zBXmGCi4avyuTWoW//Dz/eqV5o8iM7njtvq3jQ8fXIaG
SN5Mft8velt5It53y7r9h0/0y8fk+xf6ac/j/tE2flLprM7C+iz65hyplr52WtvHTtRqD3HQIBeB
Whuey7lQVoumOP7+a/3FlVmXEajOsADVcbi7//jr+eHQIx3xtU1rRcVm6qvuWqi6shVi0DZ4Lm95
ARo86AJsFfAbiQYOy6VVQkq3UukN7H6MtUXidKC6yPZxkD4xi0wuilAfowrP1e/frvb3h02XFceA
OIDklS7wT48BSVaxn04Vbw3gRzYaAKlCYudApMlLU5qOcJCB/bbypq1DBgq9ACwDjW9Fx5by3cjA
BaYcHVWXbSlTfQ81q5ti/FvUEGzJBCu/FEUfbOVyxtZp+l6x0KXjnuJ6NtrmspBE4xVTTm1F3Pui
Sz7jc1AAh5TpUkYVdqjr+s8S5/9QGv+E0mAJ0ipib/t3gfS3XtXpLQAwlX38JLj+9nffBNfGH+q8
F9Jg4jFn2sY59E1zDf5VU03dmStHw5LnouRfmmuTLpfBzu2Y6tfGFM/hvzTXkGEd8HE29pL5bFP/
M8CU8+MTDZnWsDXNNmmpOWikLPWnBTjZNRqyEUYUxpDRy6y3gCiLBbFl6SnUR/8gEka2mZSyEDG7
G3ErrUukpW8DwcDHyK6hICDpiPDrY7/rL5nGw6xn9i3QU8dNKscaqC8sOtFxuOxjvcMvTs+lV3FO
9kWbPNRhLCEiqioEmzoiJUIfavM41hMeLUN4IaaHRdP5d4An6EulTERiIiG0yL8NABpWFdRutgLj
gM7IfLNovzC9ZYiSq7THbWc6gndPl03foMBJyBjruOi0kt2v+prcATWi48RYFHVIm2puyTVhMSgW
GdGV5OYO3ZVQ3/ALfvRckvoiJfxG8cZavRcp8fQVWFO1RUeYq1+IFhx2UujPgq7YntZqWD0Ivtsz
VVa+6gj0XcPWuNFJIWOgP2CsMV2cb9ohGvnIQotPetasS8lXFohWjprRIlST83QtBjLQ1HE6+YAW
MErUJcztsGx3uhJig5SaR5O41aQkykqnc5Xq5VKxsy+NTifHMaOVgih6sE3gANG1RI+CR191KwzD
dGaYZDEDc6Up2khjeyepRoeCqR5urZiMrWalbGXq4JJK5Y0FktnBKgMECUH4QAjbfThHPBjzyKXW
E0hBxJ5EeaqfDa2CqTInJow+gIcR0dnabnR/mWBK2CLOHq9amt9rcamjOdeYvUdpOD7ICcB5NKMN
rnXQnufBpPNo3DQ5atZTZGaXvpKkZdMRbCCTm4H2DVr3U5CMpyQiJbNpBx0MQUU+Yr0lT3SBO+qp
D/pqT89uNEbBT1WfIKd+ibMHgJd0pqw5koIQgOWYjhDHFU8fuqU8R9iXjiYt/WGicaSWp7GTDxTv
uDoBl0K3WeXlOKu9US8+qglxXkWYSi6Re7x2tC2hq1ZJId9UUYmlPXbGgsatWq9QxiN5s3tlXQJL
ywzlTfcl5u2K8yWJwGdhLNZhQ1p+edEamwFMRDiFel9NofLSVTJ/I3Lh6XhVHxwzW2Wwmfnnjmgj
tLSSzlOoGRcQBM1KOAqh5JptfCr0st03VSyaZT0a5iUptWJH9tm4j/TKfjOqMqSHlQV7iZ42nv+q
3SbEfT1FWuB0QEhrcQhV+pdhhPF6RJpzrYHeuDyqNYpmeXwZYy6c9EvzS2hq3dYi5PM1Hn0C/nTA
XQn0GNjuGWR+cgf3hSPMlWL2/apRlFnuMw2wZ/X0OsGaudpF2u4iuUhvaTXWq7JTkVZUBS65xu/g
giphd9J7xzjShi8OcWf3dwhVtZOhTO2ukSvlBbZE61lBPqwGUh/3JRHc2yp0jPNU5SGG7AE9Zp2O
1UeBl4mpVMe3PrU9Bv7C6Q/gAJp94tsKQpmuky+2Pcj3EDrKk4J45pDGeXgDLOYgDzeqA4+KddBI
vzykKBBxmVaCOXFaWGsawMnJ4QNy14OWGH3NrfnulPnFNVyT5135r6J3Ts5gBKIh2zJt7DeW8tMt
I44R0Gv1RF5LECTAuqscA2rd1Se6SAhusHq7hUL5OKpK61IT00jriIEzBokUl6a9mV0trRINmlpn
RfPss1YA4gYCbts8cIduErzAmAWVLCAqXcxMjvYNUQ6YNHVMpKQ7FKZCvJ1vJ8cxSPihyvBm+KSu
VTrtx3roMJ8qNUbL0bgCM4Ox0PbpmU4mPZ1+bP1r0fe0px1QCxPJQhPWeKzHaOlUWiDFEhzouMYZ
67dLnL/dsCZgPIy8ztdzPNlhKVyM+blnTEp206zQfiFoeFcn5LNJqn3fWtI6E022HPFzFJRpy7Kx
MhcmtQnmg7QAjcvJOEdm0Ii7L4bmADz/wa8se1nkcrPoBmMn0bgji8gXHmhd8HdSOy2tPhppL2GB
mPRu71f5wRIsfyFGJL91sOozunERCDovNdJ8Uc4hH2Fn9Lus68mICuYBgGUap3yMMKMSqroCzB3d
F5MZuEUbpCcgQtba8QlbIjORp2oCD3noCwNBWBvVB2FIzrE15PAWyoF6CIRZnmLcWfe5YsqXMNZU
BS5s1+z5rYcDMGGII3LjHKGj8LzbxFN80EEDl65ZWvg5TfJsOVT+sKrmlQJs1dzb8+pR53XUzisq
qe12F/qDdoqlbLgrSkGgqJxxPoc1jPieozIzq/qtHInTIsNbr1fxvIKxZ7e7mSB1/X/sncly7MaW
Zb8IMjh6TKMnIxjs2wmMvKQcnQNw9I6vzxWSXlXqWZXSclCDMsuZBvdeimTA4WefvddOwqJ6Gi9P
OsxMeYWjfNrpyzmQXU4Es+Bxabwai4OuLp8DHT1izy8/CF7QWno5V5bLCeNdzhp4QbTzXc6f5XIS
AZxtD1AZ7asiEtmpkgFH1ty36pVIEdJNoeKrpgcpU/ZkCsY+iD7z0jFHSgcbXE1FeEedJAdjzJ8+
cgEJfgVhlO7nPOjxb2fBHX/auh20DChRMXTdZkFokzoikwzepo1m3A7QjrD5CL7tKAY+RHFSmE+E
8BMswEQEArUW0m3NQXmpGs9VmEdr29dE8pcwJuvvxJgYMR7HSX5dLZ1sXp04ZOHl+MBOIMFQh3io
JVUtJ6e00ZXrLgNpNfTROGCArszEY5eRErIhwHtE2lND+tIAIdqqxV94X/v+YoPSDBTwzyqv95Hu
3VsXtP1NJGf/nroUsStjFz0RMthDh0BawGhOlL2H+FWWWyTxCJp9XscEHJrkyx0DiM1RjMa1asMl
tbaDKrkBjfnFtxdybL5Rh5PR6p1WgrPF5HnMR4y+lFPr9s5DQSk7JmRNZzaVzkue42bv4CT1TnXo
kCTYgPXP/XgKiHhsZWIDE4mbG1BL7JB6K1lzR01Z45GuIeMGHJ+dz6qJ5bxRdcNSxQuhkYz5R1PE
087k0y9RuXodtS4dZMah6FRP57rnGQ269isLv4jBxNcGjifnjXE2BNynE6wTj7pZG6RijfNKPOS4
Z9mERCRupoS1UxispSLuPmgvPPbBHBzKOoHTkrnXSWQ91MVwgSEI92Tx/t/aS/MLzoN1+R3hSzak
jtt0uuN1/ryIJvvd96b0qhtYQ0xlvRzzAojAPNX9i4hss8mFNr/jReAzOMi6cclA/VF580f9zR/v
lP+Z8/6LOQ8nwT93fdx+Z136+Z9HvL/+yl+GhPA3L4AEhESNjQC5jQHrz/kuEr950K2xAdhMcn8H
CDu/4VmFhsiRgcINRPF/zXciBDvscF7z2YqBJSEx/Auj/NfN4J8qFcPg7zeF0Avg3QCFJLpIutem
a+vvAkvGExtxQ1mAw9TaWtfKLymCnS37JmVhvoX6Hu+GRiTAFXz8aVSPJSeBlXyXlLM+FjmL0ARn
foJZLCO+lCB8rBzye9hZkyls907ltzezyFI45DVeKIn/ELt1NrXXVWz0G472EgZiXV5RwZoeqE2k
8FyN/XYEOnDQtAHcZjSUkJyV/RhvfOYBUNqFM9LdAHZmolOCLq0r3GHeMZuzJF4NjddtE2gPN3jp
iMXbHAgY+eLZ+km6geOTK3b8lcUth6094Yj08TLWAxQOqCdLfYoAJb92duTMW2ETLgIDEFJT0WYt
LkUHAzR5q4o8RV++T4ud3fAYPyUtqH1fqvHKz4P2MwgWcsCOTh+g4wSPweKVl/Y2Z8/aGXwqbQEo
aJC3RmNZK2+04au35U7W1bKN+dFthczTtXXJYtpVOj201aXSOI5uonouj47sKQfsim9HsmCAwJE9
JJGfcz0HF4K/0nzgrA1OKWc7LRiUP15yisXIWo1J/5q2auBgne0SWusGVuFAeP3oaAGla1b80Oix
KulN0qtmnoiAqjSMnoVc7LvAdFApxrKMWXpDnboQn/Rt4c6mBWrkdJ91mNI4PY0QDgIJkX6FzJ3c
1pFCC1Ua4PFKtXnYHElHli60/iYl/hRCDgIhL+M72gUvXIE+9CKa5iG/g+2CtdWUCksgobqMtmjW
mbvA69iGTEV+lnHnnFHq8w+L2BGp56naVzn8ab6lsaS+PY6em77zt34fzTg01Hjbi7DkVxmPnVl5
c0Qjg4Ok+BiJOoV5AxXpdaAi86WmUIoc49SKe8S+4BYVZlTUBsPDGaALHVSMV4A17Whee7YYX9rP
8vsuS90teBSpt3lmjDwhIchxR2SLiygWSKrJAR88pOEQERovsAgX8kI+U6pcJ8VYH3QT1jdMB/1O
jo9Omw0wckd4++lLPel5XRdmPA89P2PRhfk7w/Zw59ct+E8vvWwSqluk57NrDO3Yw7zcF7p0b3Ii
tTua6mo8jIrGz9J31b6kioKn2szpfmrbjDGgwn3CjOK0y5ZoF41bVkNO1rPs6Qd+4Xvvlu0J6191
M+l4vpLNlLO0XUKNjqk8iCwzps+li4DyOSIhDcR+fVWNSXUcUN8pCZnwKsIRycL7Kiu7F0H/MYyY
tITnSJj2bXagtZE1bfpiFWLzZs+f4GuaIqcbriquWLwoRzcyHwzAmfvYRdwyOr+qvzFL43skahkE
zSnis4/xWOghE6+sweeZwTT0Bc6YMdLb2vUK+5cbJElM6pcW9w1RgYxfRV3Eq2kIIwXfjn9+DXzT
PMOHExt/6NWrcGZPXad1pvcUOlP+vvQ+jYvZwDFN8x2xyG3oD+UrkjSIsbi1fPa8wcuguS0It+/O
TIHVc9n6PsXmsA0oqyln+zsM83DfEU6+oUikAD1rJbuxz5OLFLO4t2AMzFfVJVyy25m7U9v7RMqi
kRO2IaVEKevTlGG6ZIgG1cWS0NP1txz7+n7xguQntzpzKMJh+W6nGQaHY/MPi4SaApI7izfv8c37
3VPGxTBae2EXyXWf0ovxYGBYjdsQlSfYYdlfvCuJr2PTV22CKSavyuCQOHORbBQDW3kDVLZxrhQt
QUyPDuyllSjk8kS00VErN/VwA3he4KVEpL022DuUriEcdHFxM/u1xetFYqJmdK8A3nFHdZqk3pv4
wmWMa36VpbwtO1WeWmCOa8sDNw20VsK65cWzUlPXXA9BvnSMFsG0N/OsbiQY2mcfM/SpZ2BJV4vn
NB9Dy7ezbnGQlZDIKI/chIN2j3B4omWnQyJlZA2bMD8UEljNOsmU+WXTzgnUqDDxV6rhfK2aPJvY
yIYpdD6j7SreB+FCVZGtjDFrL/M9gCgpfNYuDOkFJ/QcpscE8CQtiQO14LzB6iq7DWu7PU4KwtBV
DuXliiSFN92UpG5hHgQ8BZ2ljjVdJocpQQBeWWR7EM44Ju0p7R/AWPW7DgPGJ4GwB29kjbtKwBI+
2nPhVStpdbTI9BS/0oOEzbkDGlQEny2ppnJTMHK8tgO+tLUXNGBiiRqOKTfVgAhQR9ESVADQ82tS
pJR9IjM/Y6WaHvtYsoSsR9M/BkjVR8Bn5Wq2HO9BdNp7ha2uiDJV3nXn41/ycxCG02RuMOh585oI
PqOlX5wWchtOzwO7olVm+Wa69HJeOJ4xF64RU2+Wqu6CDYsBCGuNyLPr2smiybn03N8Rxs2wa6xI
mXtXMuH6yIuXfx1scgHtVe4zt3af8znnvKNPrQf4U8d9SyJH97cWzuBkxVwTvzZlDKcGEwl+P4g8
KHwsbVh8EoGeN0HKfQ0QYVv45GA7ftGZRz/CLXoFdfbR2JXvEObs25bMn1kpdwjGdTuaijtEzNwJ
lJCkuarU7eAsCMQS19taSr97RBCwPuFe+84a5ZYUPYW7HDS2Sj0Qmw41r07pEael3ew6SS27OwSN
TSVykQ7dT4dERIhYTjQQJrQlg8g3PevxdkDaWEfUtqPI2CkHdrAIEqR5r8AsznYDBJRmhwuRVjTf
ImJsXIfVWF93KTrf2pv0L7Au5aHRS/hrQBBGjpyZURi38G+seTMtLM90zs0ht+W7n8j2BFloBF9Q
gnK2TZffjKJ+jiYNC6wE/Sa28GP8o2o7qkjVmA+bFNc6u/dLoUTSvi1VXV+1uuB3PoKHO7P1ijNy
AJCAkrpgTBtyKi7LICrMrgLLQVBlWXjkk94SLMpyuIK51sN7NoDBgzyAjLaTvjO9mVSxry8IFWOx
ow3pSHJdPg+Yun+Icrs80oBE62091ItYY/rnozdLpTdL3zaaU3noHOL3XrBGSgviTeLk6FM06b6M
uqWM103bfYth/gKLa9aWMssWROieC+mhsIugW7V5Xu3gGDSI8gsxgWLu62vMKPUFj+sxxIYcgZkq
utcpiwlqyn5e897nPCn4VF7LyE0OvQRcVo9yeoIhMK3LPsHWLrz5PdZBWTLa2fpLtirKmJ5T99es
6vWUjCDD6uU9TYKfMWPxgdtdHrrEgT4dGcJVK89E/ioe6qDeJwnGyVWRpcvemNShYrRv7Tfh8TZ6
TXVtKXy2aMQM8dHVknV5u3XbstQH2TdoF1M8gFehBaP4aqQ/6zVaJ31VXs2gHUSpNRJOjhsMnoS+
e94BV3NWNg91nE0vZCCA10ylQ80D7K/BSqvjCKjFgkuBSf9gddCsV21VUc5VOfH0FEGiwHqq+Z92
w4LsmOCS4GSF52/Iu1g/rWfR6kYAi397jtp7TiC6WgfbxSFaUN5wZzdTjBIlpIVDzI3virxqH23M
IMU+CahQhddQ6Y+AxRMMBrxfYsMFzbyj6Ta/BhnydIQ93aRHHjwuhlmV1p9xMHRP4Ifd0+C5zp0C
R/QcuRG1XFB3IMK7MmA/5kjUxDGz4j1EjfnAp2dK6YSzh2+vNzF8gyWLjxDM4VLbddhURJGniHCw
catxk9NUD3QFBndZKqAcVhfKN7hMATT0qaKKeMATQurP7XuSG5b4jKNuuEYxlzeTo2oWKtHlCjb2
kvuAWpyWy4GbUIYIcpH2JNOdTBK0MC1G01irxUnsGD+dp344JPLPfJrCmzKycxf2BkxofmY2dD/S
RKhjtD9s5oydwkaQaumCfDzysALyyCZrPTauuBYuTsbILQjFQG3bcqoi2YaWIzZZGBPEF0GOdZCo
nHwGqQ5qMYYNidgRFF/z4OentvFJfIVZNCuqsFrx5Q4ZhYg2OJ/MKojpGebGyauabe3MxzYxSKRL
kW9jSopv3Zzsax0GOY29FmpI3JUcLE0NBa6lc5ccrf6MSzskDTT4H4Bxl6+51Ar2ZWTkjYmr/Ktx
6grIeikfByWKNweV6zGbJPMfkhtgg6ZJpr0jqq5HDXL6Ys2DZTu7/oK9oCixPTo8FltgiX20Ak86
RVwKquqRrCP9gCnf9z06fUTItnGppKfL52hkVZKkn/vypUvd9DAvXC42LcnBdN1WXfpNPpfLYp1E
W+2DLqlad5E7n1bLo+zj4Q67dHpV8gt4iv2xfOS8gGrg8m1wMyIUPxYppOmJFy7VuOOTM9Gbxi8U
lHb5HuactnPsyUddL8//vH34u7EKRYE2UrpJybTjPob59W8eiIhwnnKbftkXrcjvqSHsz156aXOs
RHidLSUrkEsj6D9/0YuL538vPC5flAW566L3/bGk/ncml5OJGjRQMeNpleWJW0Z/JxM8Y6wH0ydC
msOOkSzACD/pn3/+yn93M/35lZFNhE1GhGCj92+eucb3Cb8pelI17FCuOqE3ruY6sLDVX1Z25AUv
BgFMBP8jxf1XUhyfKBZZ/3e/xd1Q5Z9ff5Pi/vwrf0pxNO3ywWQgwxmB8Q+1619SHE27UAVQ5wjm
8Bu1Ly6Iv6wWLlIciSGeRyD5f5aZ/MtpEf/me/ze+Yt82IPAdv47ShyK3799hO3QD3zHJYJCOYpH
2vrvSpyUEvpO5VR7Mo7dgWL64bPKIFJdLgd3bml1x0mj+ZaWVx+rMSLnoCr4EXOUH2O7YiXEgPkS
sc36jlsbVI4XWrsQ7RGxJJ/BPVbplltosGIQTa4h0kiykMsn7Yd3WEs3LplcMCXqCCTV20x0nq1C
qonQSmDUGc5QrocvTu19J96wBt+srouu0XsHRgvjmF3MO90MkDidKGNMDMVz6WeUm+oiLa+ZIqsb
co3LLUeA+kV6EzcUlt4vk/Gu4+tNtwBUrZ3jwQ4ni+HJF0wnUIeskWuqGbJNGyfFh68GoMoLXzVR
riT3wwXje8R4d8XsK1892kuvrKp2N6ig40ZX6p7S2fqzMPSi58Io3gXRfIu7I6J715+pHMKmN68K
jG53KQWjB6u4JDHlNDywrwJCEVQOzIQ+d54N859sZ+CUrL7PXeqhOyZjvbdUeId2MT73sS1/dJm1
b1kwefcKZXFV2xeWWAQLb4aJtFVBkj2CanKuYseAYxn1HQQH8YjRwb+CU8UmXiUZqOqoepnQVFEb
yFrNNF8AzCehoeGvXxKJhKEjZiqdCcHaZQrHRy/OWb026U/CwnVNlIGt6BBoPOMmYWo2za9goZQ2
N9GyCeP5NXWaA8Dy64HyLwgKQtwDALK3GVn/uzyc4jcvmJuTMI13xDrgUoO4lN+IJ7CkCPQS481T
/2wA956rpeHGgVaNl8Af9L6JpLrqZl48uNSna2V7yXkqK30IGW/WvYjEFU24ULJM+JO0JC/f3Jyv
jKcufmTura9LH2w4LTtE352c4tVFGklJm9VUMKmEUncyqGEFpku3j63FPDtLKW6rEk1YerV+BRGJ
38OQ0ZY2rgzjaOJUTFVrNxynzSD4BXERceIbNQ1tTbSn6Q42Qe7NUI39qrSC34fJi879EPZb7eh4
F/Qob5An5que99GZ1xDOpUwDMfUxUmRhtOtMGz7FXONR0MFUB6lFdrwD6g1OjgKvpGAqwmpIkpiC
+t1SYVKZzVCvLUO1WTDUNqz1jGEmM5AKAqi4jr7QhHJbgScEATe3e+VWVFdGS3OTRAnkCNaEPm3x
oZmbPYxfsBqs2yDCG0bR9eTUX34KMdIrM0I0pGnwGxb3jP4Z83MHS4tZh2YybxeIiyKTZBUoAzt6
L7IZ7oi0q5GmMD09BFXzzmrwq4J34y/dCQLiLyBRAQy+Ijo0ZCp2aIoJh8/lX1RtBJVITLQTLA9T
5z2wdGVELtt+o6nDfZTsUlfuVNA6ktHfN2fq2/UhkGdA35msiGUMAduxoBle00slsy2KZQ+ixkYw
QZKoTSVIRMj+uiacsx3IPv70UZHsgjpwb5iEeZjskF0El81HN3T4qc4evBATz+tuHDV1GPVCfXJZ
bSNhmLvQXuZXqcBBuGEOzqbouh3Mz/p6Dq1sHRZjtx/r3FCJ489yJbqOy8Milz2mh+UO5JtPZ43b
rRIX56lJDO2CLb9tU/jp2l9IbAor7fdFrFmSJsAMGzN4e2dghwnN3v1qckwK/OnanJjBxFrRZXNN
W2ryyr1+oXCjaE5sG8drW8/VNb04EZtF2G9E7/rjlDo2G8vCfuAhJwrCboUEEJijbD07k/scZHVI
Pt2UzZZmnwHJ0Eujcyc5+LZpFrm7fGSmB1ckv+cYVO+k9bYx2d4q8ZjygzggRhFOKSr/bays+6Gb
zibjO09oQB+z6qJ4wJ+gkzV/ayUagaJyiLpEumFrgnqbpC1js8od32d+TLtVFw88/z1zUZeJbN9X
vn3XheW2sNG0CNCvrSoZV3kcnoYcIsXgcuMv8LbmSw3/FDdTtYzzkSInrCV+5fWPqRVkF/nxu2Dc
OEy1JAubjDf4Q+5xrHsbivPm3RKN7TrrgHT28Oz2tJg3e9fnBPepvqTmmQXyoJbxB23rPh3DZ8gB
fYz9z2WdT9vCG4UwjJgyUbl/GAOQhUg4rJVpAO/KpN334DBYriTmIytj/8EOyvHIv74mJXpIRswx
ACGgIz1xZT07Sm5rq5vQGKXaMuPRSVHCYk7nLqVEh6bYGTzgFcA1zSLA9V6Jv7nvl/YywkFRccVb
4lD1SfMoqVPfG5Bh/lqM48RSK62at3mBoq8D09+GyoBKssL+hwWFteKTe3kNGjY6hargYaBshAuN
zR3755Wah21gD2+DM57pmz4OU76chZI3dZs6vGZpmU6Qj6YV3LKarvacQ3UW9rXFTm41ud2Jzc9a
zc64ctJeUB0MG6fM9624NHnDQG1WVoGvQCz9VYu7ZJ6j5uSgyrCcyX9EZ2J/F1RobAhHTvvo0i9x
aqKfcHan37PQJGc9U5A+AQQ4+n174UZSIRRsaMPoPxdeQz/5YkebZrYxcxfppVIBbASvt3xcnmiw
6p8KUMIWdoeCrvepzPS9Ge1+YwgG38BGSzd+r1ofIL+xXzh6Ln6MZN53uuown9IVYjuIAktEecow
tcDuRBo8WkU6059tFrUPQLNDwki7pwYZY+50dBsBSG9WRJ1eTBYuOIW4oki7+cEBOD81eLQpaw6D
3eCVvL1dV8X3LF5f5nAEQDKCIqrSM3PkjgYiyD7u8Cb69rmlkn3lVoV7L/xL10BcmR2vvfimSijZ
gglbhm+5T410zbWCxCTJcG/v1vKwdNmxBw819dOAGutVEnCtkoonq1ZbarD5sefbOvfrnbA1Ucrh
zlj2Q2Gnv3ihwW0Zvzvf2+t58s+NlHonhRevg5y0ro/Ljfcut7Ak3dIFG27yYDE3TefZwOOUt3GN
R47NT3clkiF1bnPYbUjNDmdpe8sqbPQkkDbyZpP7tvvE8RudzB8Fx/1I1zFX+AocD7dOLz3bdZEd
LTpaNjRXuwe9QB3lFmce67xcdt44YWmMFDfh/BvWKe+b2Rsg4No9hPjhJsjBFVop7orOx1Tjdw6V
JI0bXydORh7bFfMBs4u9rlvrM0e8Oxhdlicm90sPvA5g8bKD0B34wHpJ/VM3JVD8qUC6ZtPkHJp6
ktdA048KX/77kM/hy5hw/jnQWWDHGwtuDMvuh5bB8DZOwJNMef15aapZ+THYZepEEyyzwRUrOrPu
dP+mWR3rsQZQ6/RwghUF5bSAXie2sF79TEVvlZqsbaZT67ny2g3ZEpbtWFfhqfCj+5mJxG25UdJn
y/oRhmBlI/0hxl6D0QJUrVnXDWNwcKc+4Ieq5CmRVnMXRrykZE3yt6+G1ybt9cnPova9zggfFD6V
vEB8tcXBg37D4rXbiURTyZ5js0mNStYUOlg79loUTYA22TfjkDxXJtX3mNCijaaU5cEly38OMtlc
cQebHmqnrF5bnLhYU6cLBNM3D46lqAjO+hKSsQj3Oguq32NEF9LEjbeONDdoNjTeyRF0+64WEDmf
mZOlJ39ccn8l2BXSsGqyRym55aGD6uyls0teGRQxbZwhkWdR2vZeuso+w6zjuR4lUdW0666SRZHQ
DCv5UXmLWCVIbpsJbsC3p4f4bEWN/2KEgDbQTzTakt98jzstHwqk8cd6mp3rCdwzrzyRjfzokeuQ
iWE9Ci9fd93l5Vql913u7fBPpVzYuu5lAIKL7DlP55AU/TqYdHX2ur47KtsPt0uS/FAc3P5Rrh7s
qtJwdZvdZFcsQfQu5pbVFVb3B9CV3XbuhT7KLg+4fwb+wfS+/8HIqreLkvFP05PAjxkAr1IT1bcB
odrzKNLs4HsANHuvgtLvEjatLS/eEfZGY3Oyu8KaQLxKbuYRZmHWogKRi8j/2QHGqwAW0+jr01gf
9nTVLwWFNY0T473D1eRPbfE736jeJnETHoswxZJW9hTpTaX53U+WX72iMjKCP8uCHWabaAlM8VUA
z440tKuySo5JKs+Ed7k54qd1GiL/2FhGompAwTMrNxuaNt7raFwAzubhzcV7rjC07Sp2ceva6abj
ZchPV331o6dm70fkyes+NtsEv++G3p38JYUt41IHefHh8swBCEW2D3SKO3ZoxcnjCkYW3KmeJRf4
hFlufJEgWcFK2o+5kcnOS3bRlOwpeyiuSYfe5xOMa0lOPDFcyW0bP6cwlx4ivevp70WEnena6774
eM6rfFb5mZKOhR1020Gi1SEzd+Dt20UAVizsqln7VGCLMgFA0ebB7VCm71SOnSXn55aYpH25G2RY
zQnyjo3lbJnzkkOUK9Z8Xtbej02ZgZbu9GHs4mVLCaU68KbIr8WI6qwBkt8OEN8h9YZ6XfmQPkM4
FnwtW15n8yCmVcmueoP/1HEAWSddgoLsvDoOl6fLypjWHPJFdQm5oQEMxcX3kNanIoqocJTjdFIc
hYiX1jw+dn5evavE4eFxU5H8ahP4jZfyQaLedqpnG1N9fq9aYT2QGlG9umo9KE9Rn+K1XfjFn2tV
VOe8z8UHb8D23FglY25K7rbKgYJAxRQzJgArfhtwJ77gaQa2TAEN305G/HiloEZcVS0wtIA6oT1x
6ABPDdhe0wfDlW9q/8Gl/3Q/4Cn/FbQ5e40gHbL3mg0iexbI5F3T8DCOHJ78aOJjokV9RYQigp95
KRkCD7bOaDPc8A944O7s6WUcMvXY68k7F6EDKURUNX1zdnvr8ju9d4DC7oMl6l+kM/00Ze5smYQu
SLVR3BrBfw1zwpbWdUd0A/+ytkbvv+VtS32TNwJiT1IFjd06WbldAB7x5C7kYrGiIoUAZynifOVk
PhrPkvPYAqwKH2lks3BxORMX7lrd2IrW0nbBBCV9TqxR0lhjxuI6bt12Hff10xwUn20z3SyGQlMK
HL+LwqMpSbeY8rFM2iwJ6HGZXzuGn4hnmEwxoL7YfNSarH6Wp+n9/xPd8/8j2hEvEu8fFc2Hz/yz
69PP6m+i5p9/6y9RM6KZIwhpR7h4Af9TZUcQ/+YR4SZSZgscFn8YD/+ladq/CUGc8v8UH3N/w6uI
85BSZxveo+//d0RNQmf/JmoKR6DMBxfkX+iGeCD/LmrWdjNbmIu6na0CBZU4mWmkc0qoMsyFdXBV
RQg6K/brXbCP87xG1wqchR48hgeQYzGmWEpHo6MzFu5ucmcX7kRcZEBFmhZXzNSy5F6YijW+euUM
p1jNuyHM3XFVaLLTe9O6KHHj2CxbFvEWRN7MS26GdmpBA9JcekWcoWm3w6CoFgzw3b8v2QzaRLjz
LLcRN7YWgVCRwbKrRJ6oTQ2+XFbQFBzGE3a+OMKBLpYbbUV0JTRLQV6GOFSjh+IB/JwG+GFbn/Ro
0YlDgin4UkVfvTms/1u00uHisKNjNQU+00m0zDB/Lano0ittOwSDmikson1IJvSxs+1hT5AAojTV
GcM7zDti8YuZ38FazQSBK7s5Zwi19kZVIgfqWPULfQEO+ZxN2VvuQjW95CAZVYavcGzBy61k5Ta3
HLyaA0UM8XtTC0pC7CpiC5/VAP+2U6Ghy2g8lufAE5e6DpFXbJVSMnFezHPedW5JIkKNMLmtMB7B
P46mq/Ydq35xRc67hdfKvXIYekQHp+87vgHOK7Jlc6t2Givll9sP+ENyr7lDn/O+UyHm55gcA6ti
3p/VamIded0USw6Au5koCSyn5kV1FVm+BbcYToUhpGHYaFagNnSGl3SQ/YvWTSFprYvJK+rFqx9E
IHO95f9gfhmnvrwjSJfeF4JF9y4xfXxIs77buzQBvuUAsvGNOQB2I9oiBiK5EV6qV2SnsQVTNAkw
HtlsiR27bOOQ5R/zT78bWYXHNd295HKbywIbHZ7fmRjpF7Zt+6nTI0v1JAqA8nI51CNDYkd3YW9C
BMyYV9XLEGAqWkPxnd8JGkQnSJ3xpcatTYYtNYeq4QOLI52rUEC5hmizyt1Pqm6ZxiZm7m2vlSw2
dm2Ney+PhxPzmHNRcCJgVsRt4oLLDud/p9Q6HtVyl+R4+x5mqQEPgRc7ZDpw70S69Md5tFOQiF1F
HFMQGXyvnIEGjxA0EPcB4hBNb4cbUTHw7tDf+ussoSNtbc+EEFuKyrdxVQfvscxFtFIiE0hwgyWb
DeNBPEEpdaDbaKe9ilzgXjtEh2Fn1zZcoGmxXG5xUy8fvMUBXazTPH6zp0y/5nYZfQVj5B3DaaSf
2Lb4x/PJFCRAoteBJjqYhC4ThemF9xn6GfKh9CS1Z3gtSCHFcznckiSZDBbJwbtuR48Q2VIyt+0Y
UYY3v067L9JszJQlM0K5bzkH8p1TLHCOC+MY+FSBzVdO8CMOK7wEeLx0Iyd/TSkjbuTUjYEIzUHc
gEn2B4mqXriQ2DWgYqpOZk9snMZpL7EStrcrdrs85txzoC8hWBRwxvjAftaelX0WVmMlBydOy280
H7HLY+meKp5wZmi7S3+1QVCfw7Dx97NNyUgaD6TxncT1frWDym8jA7X0OC9B1p4lV80Pa6ncVV55
NA/bdUxrYy6f+UTlay5FfCqrdql3vEzMezGY8qxlZE9rPCdeyBJHOnusYBV05XAEQYZ/MJSdXhvm
PzD49A9thlwMjC+9GIOTLIPlkcPGh18ZR8lnlFvR2ZF8IBgTdUsXUFO8ZcZlvRT1URiu7FJZr8SG
hzOtfzYaPPo+Bcxw/nGIXJq4eb5PNmyQ794le8nZnjn2PhKcji/ebIGyHmwFQIvFmQn3XtXymMHC
srt1X2HRu2npWTyESe0/RYkoBYm3Aa2AAWfjESitth1ooyONQx+yF+rglhkDjtMMn+U8NI/DNHqE
jnFe+LNvPXocZwojgsZhR3AOO6eMYbrBOxo/cYFRNASaoLpjI4AFemTzzsaj92mY1MsbXUfsNEQ9
RVtBlTpAp6T3skfbU7PPn02yF9QGUqVDGpU7nMfuVTE7KseptnD/dCZbfKNjhre4Ad0PSgTVnQOw
c+fqeXgp5RxldyplicT/PHe6letP1UdeqvmAaxMUzzA12XeAIW+dZm0dba0FM+96HMspfJLWMP5O
AtnB5qyU/vBbL2yJ/VGqQ75HAkNlO9OvadDw2RHURH9LgrDNf5B3JruRY2mWfpVC75kgL3l5yUVv
jEabNcsluTaE5JJznmc+fX9URFV5eCUyOxdVQKM3AQQ8FOYyM977D+d8ZyPhDtSsB4LbvhkWHfR6
EA5bCM6cWpZmIKS3bYuLm8RNfaEpErkLwNsNxocU6/dZaNAQw36IHsu8jzaVAfm3Qs1+CtKu/97O
jFw2YV5qeMYJCELhxXOorfCkgr6/MW+62r7vMzVtTbt+LsM10zxk3BMliDDKWAZngq9gmU6t9TFF
iX4MIxckvkTz1Q3VvCWl5jUtaF+DWn3KKX4nulzbG3FWbrsgzBlGM7JOiBObrOcupeHyy4qTGIVL
C1WObehoHiFoM+tl5JVUx9EKmO2hgiwtzyT9huVTNmMxChEGLvDvHCCFU+R8lGVd4s01OuMJVpm2
bCrMcPIwppkzXSPCKj4CLATouwZKHSvK8m5t5Qg26hJWSJCmEaommi8GQiqhDhH6NBEcpngg2i2x
jcmx7DLdj5JE3acSG6EcSH8KBjf9gXxM/HQARX3PHLMlkW9u37XaLD1GC1a8HcFbExtEqPe1YrMC
s2wsDLYIGW4xvQHMc5mTUtO+WYDrarBgQ1x6DkK9YivqmNCSerUG+DlfGNKsKrRduLQ60/AJgZ+O
VayZ17Wx6gyziQBIvzR6E30TPebRXcz206lhzed2NvLdcarsmOdY2gkp1Qe1MyfduVkWPKmbpWjc
q3Gp3IveCVQ2HaFA70QdmyfZNBqkXcSa75UgqGrTueX8qgtwsNsZLbLrsf2FHNCjzFR7milQh52O
OA7adbbs8xmLKu1zl1wZjSPMTZ+aygbUZp/SHP0+EiHa29IW7RNFFAYKvH3iR1vPzUtfdtEpy6UT
bQtBaDQCs3S6DhsizJCAwPVBWSgx7wO9TW56ZeB4Bd/QbSsI1svWSLuGFDUyU4AZGg66WA673Tg2
6+1Hg55xreq8Hu6b5UoCbBPehJhhmwMRvhvdpXwy0ZQpdE5xeXQ0xVB4rHsQaWyZ7gbyIMqtgyNj
9vuY/+WF/dAc3zQG9MspaRv2+aKlfrHd+k5UuX0ftA0U60DYHRsQiG9MZXrB92SQiKpSAIE6dtZk
2zD/wBQXYSDQKEzvZCjHcx/w9pB7bmDW5xiXT+lIVcyREc0VG23Cp3xADk7+HMqk/BRNLmJsf2tW
bTiu1VESVUvFlg02GYVCcD8PE1YKp6pafVPWHYlMdBysUdI8xm3PJIfRCgf03LGhiLqnNLAMFl7c
0Td9OQfnoh8Gn0eg+cx7adyP6RC1W6Nys7tomQhYqnX3SeDn3QuycD97c9C/zeAfzo6U2vdZDzRW
MnWy3I1l0n/n/KVcsOpOgKBz2mSPthMp65jrzlEvwvm5jGc01D13zDPyk6rbWqmV5RwCepLucRay
p7Nck/SS0ERTSaWss/fR2bs5kCxJHTiwbyA/Xg34b8ohMo9xK+xsV+sMvhhJcLttiGmt5z0o2TA+
LZ2dnmVvzfWxt4y2AVWIZXHbu5n7c2Cn8KNtGEx6UBoL4bf0Uk9WMkM9R5I9NcZex9OgEQ3URNYJ
8xVOEpPEwGQnl3Ek2YmJhau9lU2rDnMiMqfcukuGzwgCH+Bjbxlod7aIbErnhTWB4dxL0otYy/NN
qywUsIaESRr0b7LACjuHsCbGTmO1MWXKD4VFiPJUWDacABspar8g7b5E6LYRdZvWYF5jCqJgNUu4
qkhwHnXumwW84BzcpS41wW3WG2vaxJrQJC6Zxa59H7HVJzHZCcGTE1Zpm56ZD8NK78CExhqsiOq6
voqWkvKoKuMeaYxR5dZ1R5ZHcJJGO0Q3zqh6DD9xEIwHnO/wQQdZ3OHXqQGrS2qSx5np27J3iU4y
dy1ZN/GRlWKcvDDdbvIDJiHW/FXqzO1rvsz6mxsnqb3uf2XwmtphETB0DA1FkdSBn+VzH7H6oHhs
KTObqY49Q8wxu6VwFvqriREf5GfXjL1XBxUw1VjO7oXrux4P+JrBfOBTh2UpV2ibLtJ9h7QY7URA
kGpUdPnKbbETfQcz0HQICurD5KrEB6s8Zt5l53cp5IlaiwZt24XkPM94IYITtPwJtT2Gsdpzi4D4
FKLr51ps4k7oyIRKHMO+ptlZ+31KKbereprzq8yERoNtDecZkmB0kNWp0IvZPQSOu0oRZa6iJy4p
uz1aU1dQ5ujjeGGvgzkSk3w75N8ie7aSd4NnuLwL+46YBrtac0vqAMuB3trDLdh693tCcWdtiFOo
1Lbl17G2ZRPPy8EI2cwQJ8WGwHcCqSz2BKrbKdEQW7s4jXZGg/3dTViUbCCIhnjiK+5EAFevmjkx
MMZMQwZueJ8Mtd5vST/Gto6YEAXnYg7JPp1soPNx0Ndngcg+5RulBT8R3GiCHByyuUn1GHEmdlk0
/5jDxjRRHGLxprYfWhKIh/6hx6vk9XaIUVlINEkDGVPWZrSy+z5sOZsKt03PQAELQdUSoDQJHMgc
Hu7g4b1VDjZqFGm6zS3U5KvygL7mELcNmtd2mMOnNoRdgKp13YlkCPJvZtvMxBUCMZJ3+WnyjJAr
kZpeY9ouWBtGk+Ex9F0NQYX6qDn6Y38CgvqtRUDC4wU++C3X7OKotcDVMxLmL6rK2t7r8sUAFR/K
JtsuOVGMMgvNe3bF1j6u4AUlbFaXd9Pg7bBHu0GyOnWPvPPuwXJDcg47aPFwrpf2WOnF9Ba2evg0
z3H3POP0TPZGYojTAKbw2OMTRd3mIFsN0wGKZooIXvdUaeg52ApZ6duiTjSgGn2PWGcxmfbvNH6x
pzpM3bPDcjLfTCmb402BJ7Vm/t8Bx2wCu952MsZTsMSJPmxHwGac2LVr/0FS+x/Ta64v9KOsZmyq
JC3+h1B0xU395V98KlWIIf1nM99/tn3W/bsxeP0v/2//8E/Y+uNcAVt/+yC1cRu3XRP/6H4dQZrC
tuU/kmI+vuVx9m/Xbx/93/mxP53R+t9MpozKEa5EtrvC1f90RiPURFdJmDF2IufPoeafo0uDfGKX
FBqkb5ijBQjJ/3BGw3dXUvBTloXJhKWV/a+MLleV8q+CYuA+cOT5h+TV0Nyvvulf8JBNbTo95v3G
51jH2p8zUNTq19wyQ6+hgtS69GRx+mOAJBn3l3fqT5P2vxV9flvGICmgYa5kr7+8OLYbOB8rwsUx
GdTav6H3GCzpychj5hsk3RyCDosjmVyz10zttFnFacwsEnLOuLD2faXHeN0M/QdHbei71YRNO+qs
FuUG5pnrQbIBmZZJnunwEdxLQAR1w7MfNy1UobhlE9rM2E8D7CLzIdArFDyVuqPsloSSrX4T3JWP
JpMNj7xf/odqKSusIqNxY5XsVLe93V5RuqbxZk2LLyVm8gzpesfqtTWvlbWA1NZrapcqN5e7Zua+
Fk6rPSp8iOhAS/dmNPH0KWVa2PfWkZmmzd+SuGaLo4JsQ7rVsokyu99zpMizy4xgL3FbHheLqTji
Sm2NjcVOkh4sVYuLwjjSbhst7tGD1rI0z8Ss19XeUmawD2NqWKRadupRkjqvCOowrKSiEveMbsLK
a1kRcYJrvGst/Pl5AKzSIe6iO4MWfYfydPjMg1n/ziSlpSuSWjF7OqVI5bEMGl/GMIxScjPG/KEw
2+e+1iRcGoSkrujOTmGd3aKoDmHStIehIbEeh+6r3evuld5bk73NerwyWd/2pG6lSR+fsU1MpNDm
E6mLDIf4sFJyOHFJ7DO8E3vhhPCUk9opLwXrhiNCViYYQzQ+hmaZAIuB5BU3dJ9ty4R66fm4WyPV
3zLA5T4SvzbwyKKb9inBqTmkpgvT9XCXAt+/MjWKVqGgvcuR+1tprXMwyJHx1wQGSShxb1zmeIwq
BrA59t5kDCokhggzsiZfdm6PuzFUOHtQfLq7wRKMoLu+fSYGxHlWaapfVQk5TVMoz45RI8ddv+f4
0DOPqty6Mol6ehywt2+ivO+2MDVb39SnlgGFWzGHqyNAycxMHxUiUHcjZZM+OCF+4u2A0NqAO+Vq
6HzSsjZ6pL7x+Jo4vWnsKhu5I2+xXtTbtB1inhZjlOnOWpacockorGGH0Xy5dgplvhdW0N3rZkEV
orD87+cC9clIyMvnQkf1oMbW/bYOtVHzRb32msRiusR9bj2aaBdBq5VTrfA/pC6DsmkoG9pwGYw7
Q9PqPZDaJPFGPQ4JNEmxhx4xTo3v1TwhCB1YvF6SxmiMV1w9835RcvZcaTiwLBc7eW+nJrsd84Qt
edhnj20s5AFb87EtmCQ42fhzWavtvJnGXVqY5k+GNtVHjKf+MIcyviLDJzoSXoVCi0RpjKO1OSBv
jaqzLmOu1H4yum+EKbo/ksAMjlppM9+XlAAFHgp8PG0u8b7VSb2NEUdeLQawCExMzbMZZCyo+9FA
vLPIt2AZil0/lvFPYRuGj6yhuC+0wUE44RpvebjYt0a/9PsgAlg5T077jT6u3GdDq186PHoEhsr6
qUxM8xvmD+sYEaS3qbjCA2CDQ8pCp0/HfdWSErVhTjEBy8Pl3Pxghge3LDKbkP1vkjkWYbpxOfqE
EgYvzRLsA1qhn4Qs2upgzXq/+AbRCcsBm8xCTHSczD6euZ0zR0wcXCpahyzVhl11qNe0HXKascyy
cm62UzLEb3zTpnlTBETOeJNyY32rxZzGQA7QOUQIO5OdqjCdbc3VKd2rWrmXrprz02LOBhW4ldKm
OMCpjgEajFepSZeJ2jKAi1PBc2uKJtgm2jBq26QYY81H8Mhjg9EseKNmZkIaIBc9Yz4bn/qkIKwm
oKsIqPLS5c5Ap8LQ1wR2HoTx9FYkU3XdIc0Upyh3XH/QALXhtAWNH/LGFEOmPRS9WX2i2x1QvRJp
MCoBU0jve8RAqIzB9NhzXrzw5UccjIyS9TsDD9fcw39nd9TLmnFpPQ42okdVE6rbdzXefmusjO9T
NZjr2CA1VmNcQUZ6X3ffidlqLV+llfWcW5X+UhMl7On1In7EfUcSu7W4W7dbmp2ehe3NyIT9ozWX
8hqBrJug7Oz0AmX3EkCVW1YPeUjf5vGfxWcmyIzSwkqZj+h0sYSPFg89SeFdTWPb8BcA+0EifR4t
TBtHA2v9JkyTXNukbVohQcfLrm8i1uDZHgZDgVc1lH3uCZuQoJ3DfEPbI9x2sO6t9w4m3/KJqycg
4pQBXO+V01B9A7G3nFOkBTs+MkTaidPtLPJCLsgOufCYjbsbvVbdaSgHLGdZZGqdl5d5cUtJDgjC
4nFAZ6EQp87ytg1o49nlK/MmQZRwTamOAL4WxQV8HcMLhi/n3K3HfZQy8dmwl01IPANUmRE9Z0b3
4PwMm2Hf0q74kVFfH3RUjLhhhR/qrvORzDnf236OXWAaqdv+bOav8RvqQTSwk7ajWqcSgugSvaBH
sLawKLs7LcWv2dnTbQRh5X5Jx/DJ6ORXgp/ygkZnPUZENjOQIpdepNzm0kZhdNMqUB+8nZr1DQbN
8GOY45RnJm6It9LDeYKha+sLzlpTh+EkmytniS4Yzn1GFlzIfd3uLb2sqCBE9DhMyXg9LBU/HFk1
QY2ES7FWzMxrazJsMErIu++nrtM3DARJhgqIACfyZDNg3GeZN2y01SJMTbaL9bCAN2P+sAZNbmlh
btI51Dc51ErUrhWvxw/auyHI1QmNcbnHaC+8vKqiHR6/cV1gFM7tGJVoMezWMPNtKjCF0rlVJJuj
lHnhlkMTU/Klog6iEPqZD9FyPbfVlJFhqC33tkhsppAmLnSGXPyFjiLK0VMJrOtQrPvmk7UDmWWW
E3c/eifCM59DwIxY71bVAZEiYMqsGPA2O0S5ekmuZsnRKhG5ukj3x+NqMOJ/jakGzzKR4mw35vrc
zt2yxsxarUPJJ7kPqz7unzsElM94kDIgig4t/lqq2JvO7tkQ6o5jxX5S6/aPpUrVnQUu4slYKCm9
eojT1eEMnorIMZeMmlYvv9WEuwDYGQeep3x23du6rZZrguCGQ1Mo649OURciucFY67xMSH4JQzF6
RvOpY0/VMZhiC+VLbvM3GTjAK2/dwxAVIhEHuynSQLCqIsf9CpXvAQ+XZInQTozuQJ3q8qBPZXPp
NTdq/RmG9SVK8upnp0Jehp3lNKyfC7uvoI0QGuAm4xBDgyrbS1OP2XhT5BZk2Ya9SYHXdhgWTN3a
HNyE+uQU2wR6AkCVeeENIrwxRpRFQSx3Et/1w9AEjQb9X7EdTAYhhpNr14OzM7A8XDtl5p76QZH5
E+X6RAUMmX5jzFZ6qtBgt1RrwsHROIpnFek2c0Y3GU6GhSYwN6LpsnDopBzpqfqGQmAozsh4sBro
8VgTeDGh+9ii6WsoWauJxMsig0sAQYA4XW1hoKp0yih/FEULEJXOYcDgarOc5jNxm1M0B8Fzlg3J
UzNnQ3xZIrB5RwlF75iVeCyRZGmfupEEDOoMdB06t8pxnmjSvdKJkhdWs1CWGJd0z3za1RWhqkTJ
LblJiA+H+SFoM3FeLLQRrgy6S47KFxtNsLbu/Oo+aXVuz3LVmoiBlFm0VaTTtnCN2rnfVm4tH6Hx
sI39J/3YbyR0ZdFlgh63lYmt1TGQx/y1F2Tx3fVZbHV+YOgZu5XwvYiLBwZIL6abP8A04WJVCAsp
Ml9bBOh/6J7o6sPP8u/0g5gP/9oN8vK2TmAY1R3AMH39819a0TRoRZ6OWuc3Ackh2lIVF9787J9E
Mnx1tL92vOtvCWuajlPndaCG/vVlQCoPYlwsdAYhy6R+IJnUU5qpOQcrwk3hpQNo4I1wi+ij4HoS
+ArrDG0A+8MXYDXyOGtFf7GrvLtPceFcrW+ZZ1u6AICDoQIhSuXF6wTU67kXu1sGtGWw+2+RiF3F
PxpCU352vyfi/Tpp+X8pNs8gjdQRhMr9Mmn4Lzhy+pC35i1FTfbx61Dml5/9czBjoAETHNgAFLC1
GvI/fbIKLh0TCf33DD0Tlh3jGBjhlmkwmVnNqy0hTtH//l/E6/EHjo1j1IR75Kh/SVFmq99nIwbC
NIPdgQ4ynYJf/+1h5MKuGmnaYh8mEkWZyuwRWpBkneAGSr61cyDuDKIzNsh/OMrTpZg8PZ1tsTNR
WO9GqehxW+x56YAyLEj62ouqbz2as4JT3FMK9ktk19lRIfZ5j6g+j3oSm5zjXYgzzEVFgfLVkYSL
z7mTeo6K9fsgM0g8pdC8ESa6qqy2ukNS9PwtsHNEG6LBJ8Dk40ErquYzxEDlsVHoiTbKYyjoruFc
610fX0LwWf4ssONCrKl3uTAjH5127Ldd4pzhMLke1sfGq41E25NG7X4kJIHiJ6Dc3hltYO3Ludcf
1BLHN2ll13s+GbXNzSlVG6sblxNBm2Krk4WwE5z2lNUZAYSbSBC/CiWQ0jjEwpM7tYV1ZZjpriKL
6sGQvXM3Zkm4teuqvEV/U73reVZf4wm9WIv9ivv1agEsh1AhOyxzdhkGdQZLdRdpfULx2t8qIoQ1
PrntZDGQN5t4D9S2gfCVTNjG2CRkjLjz6qpyJnJyojSwHzup7C+UW6BvDSu+IwHn3KSrn9HBZBIU
EpmcA89hF1E/oJJmyzpsClCCbxxaM0HRTfDqJpMEs+RUt0trYLpchGY/ZkivTk0yt4R+avrVFEUZ
ma6dScHudCkoUddIj3Y+KaTTtTpk6BO+Daa0jQ2Eh5RZ8jJgytEMhHiOdixFrf1ozS7w+lQStMY3
DR5VMarnMbPFmctj3AAnhnlq8474Ac7rDzzCja/zrTy4UcmtW8qo2OulLF4HEj9wPGITzJgBvjdV
+b1DyfPddVlYq7xI73Mg+bfIXKDUxSMAC+CnF8jI6gKVF7mbYYOQaKdLUE7hZdCnYscoUzu4+gj6
JEQMprR1CYD/kiGelfKNlpDxQIP1zDui9CqbSAnEMCYmD682Ax7g2DOReol66qivhde6EEnLOp4f
ppilPhAu41aQLmf5oayGN1M6I+oNlGDmwoaUXLLudaTUvARsNg4rxeERtiKCDuA44w0Lx+Y1s/GT
eCkcr9obJk3W11hKEckHY641WwtRw4Zpkean5ojWJBid6sD4dYL/rPEyhbTH28G28ydWig10KY2P
ok4nFfltSGAJHDqzPC/QfjyTFdNJJSLwtZh2huMC5BjZcPE1hmZ344BpvB27pbsMtqvfTgZTNuaK
cn5gw26crLRrO7a/RvlDd0V4g2grQtFoJIJo9rr140npJA8YSjvnAbLJ1Q1bGrxokdyIxSyugmFJ
b2Fa9T7p4oXfZUa2NRBvHhT7uBqq/VjdORXMRBgS1YXWHCxx1U3Bhr2PuXMk0q+Na2fxRSSB2Kly
ti9G1E5nvemivW6K7oIGdLyK8ix/JclvXDZdUA6mJ+ZvFWBs15OVGTySmCneDbHAAwLmB4exbh5k
UU3b2ILYEmdYNFVs8GzNY54SR5aNd05vTHczoAsyF0q0a6jJ1ZYj1TdUd8AQ0RwU22oY+IF+cFM5
nDql1beG7ea3sVTyqdYA9bC1Kj9Hs2LSu0ylOASLoz2ouRc3QyvkE54iwHkGZMFzR9ocm0aVnJnN
85Vep1dFGjjb0kD3KUvGauAJm6cYjT5firTHua2yxUd/bu8SuKl7kaTRDo3cCLUgbEEhNAhiNRjg
D5bKgx0GekA74JnmY8ls7BLm2FtndPZ7x+2QZgFA3IYsoI5J07svhdaoXd2K/r5GhnnLvwYrOFq9
xKOR7/OwiXb4l+trYbf9NXETxfusumFnGSJ/Jf7BfXUdfOugwuK9mLQYzU0q+Lbbnb/q6G0AXoxt
m3SofaPOc8uTWRqdUuLBTyTT1+taqjliS8pv2bKWXpLGP9gTO8AJ2hPTJc54brU8KF8rc2H9Nffq
niBQGMR4HpxIhY9Mf4bPotXHrY2acc8uuSASoxe14dtYGVf1XYSLuLEA72uzuc5gG7O6VIoJxGLp
CZyxkhDCVbsU4Io8yCRG0UnisWW+NHNzkjAer4xyOOShQwMRIyrRiOvgqPaBLhRenuT1wa3yxu+Y
ZnrGlMHwaRqsGRvKUDM7pUASGbA4ZHBECRMmT0T9tEvRCx+jPll/FyMs/Aa0ziZqmlcdqflh6Et8
Kw6KcFYRuhwfGpz/WyY1iy/qUeKUzId7U2skw7awdA+TUUFdh/8RMmQE95jcq0Xje5P37a3ecp9V
PV7iwBXVe+0wlpsq3h5YGvIxR1nIN7ayrqK2Ao1UBtXWaIv5bIxi35nLcrCHadkXo8gog4OPlEsL
SO5bhO3xACLR513RDl3ZbjqLZliWwREieImLRjPvWwJTTlZS6g8WOR8Y7aD93USqmAGTOrI3NzIC
4GEXE7OyHlgGAxHt5xQ09skQZfPE81FflFP1B3NhvJaj8/zAPzMcHFExlBDV8tZEMsVlU9wGqYER
KwNdFg558MAHkPOeCpSudUrWgyPmzrfaOro2Qujk/IfmNmwnY1/pS3mbmYV+aeM4fxkHffCHKKxw
7Wjo6nejIDIFqdCkczjp7s9cM01wepq7GzGMACYwG3sTh84Y+6iIsTjZzNKPhVVo9wpvFREukzUc
imnqdQyyhY1JAKHoPfVFXFxlIBqjrZZn6KU4BrzoqLfGgscSGMZ4405TcxrdJrtDZBZ/5pw4M1Mf
ho6wiZHUmHb8zcxzWHSUu+jUDOOxVQNZJKJYOv5dmYc8iOKdSbAVc59Y99kqsu5Cv3UANIqoU43V
PfPuGw0ZVwGbmxdsj4gjSubjuHAcoIubjtLCa9HIeg1syY8xnqafYyU+2lg2ryob3uwKnc9GokO+
QYNjHxh3s9BRcewBKxkvCsoaxao+0PmKZlsGs/JUG6ExzbieWr03T2btPIplzM8t/ktfIGJjR1e0
26hVcPEqokBlJotd1LIvSopihHMbaPugHLWHLs27/SgN27MEYH47mYMPZB3mjmc03BfRYvIx9Plj
LEv7Kjad8BYoIUboZeh2WkLSAKB3+yFkLnIxC65OLxEL5FSrQ/yJZio8zZoadq3qVhSNqt+xHky+
o1XBLRI5RsZjyWaIIwo4fSKxvDHa07LA9MNaC4kGBvLljQ7Dz4iFnvTR96EmTQetxIY4Kj8K9GiX
dCpgGEkLfMzdEu230ww+tkHC1ibbeGDyvSaN6vKq10RwkIxK9uk8Gk9dEwJeEKjaU3sYj3EWlLcK
F6Kx6W3gaJiztfhFxk13qMe0YsljovYRcXhjxcQpO6wnn7jooOHY+M+3jMqEb41OeoqN3EFN3BGC
EFbFT6dInSu7ldm3IS1whqNs8Znai8MCr4441dnaIQ3Rj8VQGQjCAperZi4K9L6pSeZEMV1avbuT
eguzoGJgp5bEd7LmWQvKLf6x6BpK9HcSIlAMhiWBN4h5N7az+ldKmpbKVi3CRH06VRJGJd46sAWT
FY9+3yLYtfscJidfDIZVeYf1FimZ/YgPWzLs7wJ+g0ltmCsEp186y78zsxDW7xiw3/u0lZv1y9QC
2MSSsNoCa4Yoa6OZMt1qg6tOCBfjnUD8t24ytG+1K6ZHB5TNy+wM1Y2IlvDswG35TmZu4mPDdHr8
wSLcR/1cPU6mu+xYubK5UykQCAxCt8XQiIiHNhYsGPgEdA/4gfQ0TN4vcMM0vOPMQL1AdAXeZGX5
VpGeHearP7AehVtTm8objQ3JIW9Wam9rHLWukn5QuwZGnR6IvyFJW6jdckvgCg9tKuU10bUp/naz
gUhYOws5Mkq9UqmHeymGhJX1+FYO8pbB0YNFhQLqo0i3jF/mrVyi+W7oi0sQp8slHpjpy9TBuoe4
kORyBIqRvcumBtGkHhIPKTpWISv1Fs3dnFMUMtwzymdGm5nYVrED4RyI3nAJlJqPUU21u8Fvat+V
ZTvctAh3CbvlOCCSIxWfstfjj4qd3LayNOWTli3uywXG7UZjSLhAq9X9ch7ss9X12kEKOL8tHA7w
pKQwL/5c6tPn0E4vbYSttehlvLOaHH3xVGe7gd39xq4kE1e0sVfBKB3wE3nTId+X5PviQWh9Jn7x
zQJaZI07EifAE/ZtrBMygpNwiO950N3j5E7jEXE1CR86FTYcmfYntnRKwXwcp0dUflLzkMiTce3U
BdApx9DKi1jr7OGr5M6+ym+xVuLcwhTlSTW2Pm+k2On08l8k3ejGXCt5IjQ4m5y1vje+Kn09YeXR
r/X/qDndxV17AlhJLmoq+oQ+GwTCM1AqN20ysksu3fYxXxuM5qvXsKnMOIzWFsT86kb6tTHJ1xYl
/+pWgrVxGRsUArk9Cs+JZrf2TUQCfhhpTOW/Wh7nq/0xVINQAGfwRESFbZymRrr+bAEmIUKML66b
VokXSkO9VYUuNkQ7E8sOxujWmppkPyNAXDjE6LeWenmoSPkAHVbdayKOgffwhpnk0d8TWGZhXaFS
BooxwQyhFD4pjODnIVpV9xgU7E2fMF2PHMowQkQ614tC3XgWtZReD1L+1kUz+VTzGcwbfW0Z07V5
TL/6SGj+6VWUdkwKaDKtYl13f3We9lcX6q4NaWWY6b5em9R+bVd7bFqXmg62WltZ4uX42Nf2lr/k
2ujS8jZr85utbbC9NsSkuKm91EIHRUb9nQV3+s42DnXh2kova1NdrO2189VpL2vTHa3tt7s24iBS
6cmztT3HPYhRcG3Zu7V5n9Y2vvvq6Ju1uS/WNn9ZG34YGLibO/4UB0TOdmadDKTrkIBgZ3WQ6+BA
dL27/ccn6ldm06/z2T8OVGpDZBwChdNvY2C3acPZmmZnn2/Iz3oxX+o37aW+H6/bO8yUxQ0KuH/8
itbvGihecc2mUIy8XZ589dsrssK0cruLg/1gO8F7ViKH9RokxNfpFC8C0UtZnZu57kDmhGn0bsiF
9EkrwP9vSPBqqPmCXZGMM15kRYEI18DkShIleQr7RQbac9tV9iPmVk5uMtRHw2Pj4qSIUucG2HlZ
X8CPpSe7WKYjFzOPG9OBja2ce/j2zn6gmqJ3zpNdZhn1bm7H+uwQCv8KzTQ4Yh3JjkMtnT0kJO1b
Ho+se7oivYvyITyLVT58HqjvHiLXXt6sEZnuFtvduE2muHmyQnN9HKEKP/+TN/W/OGLZFruWYdtM
US22er/hMVs0Z/R6K0+jc6xTkcbHTkD4lLPm+kLQbgkXCK9urchjw0XpL+Ne7sHlGt9bJ4rAL5Uq
/JiHHrxaZs1nzTHaW4eh7Av1XflkgtnpY8LWkRQtFTXweN/kHXoSGGopj2Zirjl1c3rQO2YHyAYS
QprsUFOn1gmL0seJZp1MVwwUyHgv3xqSe2pKBzvCKLfeR+nX1ZR8XVOoPriyrK/rK1pvMne9077e
sP+f1ZOGcu1/OKm/vKVkynyMn5/VXyb1f/zcH1N6Zf1tzZSHOId+EFHByqz8I1hGib/pukH0F4sr
58/ImX+XTxp/Y4Pn8h1TaAv/MqfHR26vrnCTxw2DOa3avyKf/E3CuBJgOTeUYm1mC6IS3N8S6CTZ
H1FjFhTPY35yc3wBo5MxaWleO6RYG0vp29ReOWwN2h8U+x4T/ycw1vqFuoVFYfK9r/AcE2S/n6Kh
5x7sbhMkyugEjHiLlZSIN5BDXiOzl86BgIR78mWUmBSGme+vLRgFg+NGnAGzJrn5xw/xWrv+51H8
9cv9H+7ObDluJEnXr9IvgDIgENguTyZyYTJJkRSlonQDU0oi9n3H058vUj09YlJDWpnNzTlmYzbV
XS0BCQQ8PNx//342NgM8ERP2lOgufhxjqFG3zKX0wXj4VMe3afBcNNUdPYv1P7sS7T76Ly56DP6P
MHzRlAtx2GL8m3o3Bnycogtcv7Tj3JXMsITvbDDmZbi3aeFIYhIAOov/Jy46K7Mdk32MDJAU9vAd
m0mOoXnxdzczydx4xhW8S8pA9sB4cY2rtTNgQarb0G4dpHi7wBg51PaoLGPnC/+rx6LIb0jcIZxY
zVOojdel7XwTkS+tCp9YuzxR0JnXqFGWFekGeo4QyxArHreBqR9A6+MgiR6eOT3qSJL2tU/n55s9
LF/qOv5qYtpAkVq33nncrzZZfjzaRZ3UwFYiwUvZLzMD0TCbmueXUEIjMiojB3VO9kmqF+y88on5
qG8a3VBBZordkKLW5D8yLfr59nt/1Y0FRGsYpjAd/dyLuzS+niP4A3loQSakMbQy6nqGbO08IXCk
h2Jk3zOGsdmKV3GWXSPvfCzptjDG7OxMFJi4HYl7s28+spf5k1XvZOh8W5Lwaz4bW4Z4Ht652Ut0
Lfhb2sauFLZOYkIIeXnWKxLX1dJuiuhpLPR7YN87+vgoB/0jpd+bqosf2x67C8/eLxMWi7X+WYsm
nOqkuYpAQTdUFAYwsk5n0CbJmE9FcDySsr7XyFff5X9/t47kPung04xEGIzSwbnYe60QNQXQTs2n
ff6xcpN6O+ZUFetx+jBa/XUbYFecJ6NiNALgSpvlK0NHH9FCcZh+T1VweT6+uBf3goyh23C4KVsH
dLKi1QRXjWFCjI7wS3HFrn33cueYdPnbURFA9+BNAcC8ELSjfcZ3OMOrzuxQzFC5KBm+bvw+H1kV
8qMRZgK1Y176A+O26zp34js7mq8QbHx1ZpPJ8SRoNyEFTYZCi6egt9CAets8aR+XOEuvRWRn6z7w
pm1gxffw+HtcSDhWmsvR7Vq5T2zOeJUBqKOhoziLEi0oHulI8BN4BJRppayPTK+FsBgyxuDpUe47
PO42pVUvK+wySYya0NxQcb17e/W+DOa/FgXJmOp024Yj2fdeFCpmU8eAr+NFLIuEkBxuk+p2guOW
5u+Y2YvXnwlda+YwkXJwIYYfXl7JWgAeFIDxNmbiXHPy/1lYcNoZdW3Xi2f2vtdGfyfT+FHWy1XX
zw/mLL4ELgTAoQ2+NqB9C6v9ETrLqtDTfZOJx67DW63Mdm8/kFelG3gyL+7zIu/XAw+hf1Wnm2Bh
4NcYt23qJGs9yZ8CNmg0QsPgg1ykcazB98ym4qaZsFh2q/opXKj4A9zUwIW02maaanNvJvFwA4Y/
9xPKl3uLKZxdWNvysNhN+rnHQgJgWnc7lOOwklWPWW43YPohmCIsPC5s68Pso7/MGNOWYqWNVMeR
LOUYAXT9rpDl3xAkvgVRxcgUGtuvs9V/FuBJoflHw3NeDRk4vxDIR1+H1+TIyxYo9ee3n9nrRUS2
Y0myHrZpZEIXX3PaeaQbZuH5oRXcdrDDrG7AttvZMbS3fftSxp+uRc7h4BZjSgMq+ctlNCV63bdm
6fkDbcUDcOa/l7gyrysmKz6jvJTID0AQF/NNGz7j1j6CxGgp1npssGOHAn2ZDSCAidXcGd78zs2p
a7+MMqikGOfButDja7pM+7JkMBiCpmwEiOwwA6WytOul/vTOE7jMVFigro7QjSkZwzFowb58Ao1Q
x207CzdgdFfu5Ez72YpTP7CwAo+j0p/b/mEMq+pbVlufOIDeW625SXSm8h1Z9Jt6yatVDTsFn6vp
zoXKd8zoKFMHdeQ7CcWf7tR2JZsiy4LJ5IvgwmQpPokWSmwXWMeUxPl2SNBrqIZbiPcO/EGHmlQA
gbl7Z7PjQPHyTTgIuhRF3bHYla3LYIPFb7eUYYlRV+V8xoqREINxIkVMsxAPw9yvY6jR77yXP13T
NoRAdMgOi6Ty5Xvx8JeR6GdQatfBLhecYAUGyIeKyRtfxKT2ef89SodPdSS/JbH9TSxUbgPtxPwZ
KnmwCbfuVDwnjnll0DaIk8e37+/sxfBidbqCZNojwXUclEiGuv/fatKTRslPF52GG1nvx0mzC6xg
GyR8LssYQcZPl+xasohgOj4nVnTo0ba0ZTNtOzv40tScpxNbPohxeIZuts0nHae+EkleGt+NzOJU
ET13C0GNV5XfbfbbjdOH1EU176rkXy+VHA9JanKcZoplnlD4pFb7c871x36WXwzaOO1cICZgFgXz
is1gNuk7b+iVeoppO5tjC6MSFt+Od5nfFnHccdqIGJsdnEeRW/cAlPZOAaGoQnW8zpRlVmtFN9UU
onoN+G8ooFFxy9pNF7YPNI8faKazGTCqgJpPQpxu2OAdHQ9I/cmpcarOPUbPDLM5hm3XrTzGBWhj
hNtmpEzm5OnRCSVg4wAsjIVViR26HwfT+2KI+IZJWT/NaIYn7AYJwxKjbjOdiYldlAwVLqH1bYMZ
wMCNMvv5IUM+PyUJEufUWk219W3oOp/uIz66xbjrOvumZIKp5gyymTwUUEZhw4wtsGyb6DKVmm6s
9JGaZpdP/mzgYBBJgKRoglb8qwOUkO9jE34osydn8TZx9/Ptxfgq/3MZouSQ7nC00015GRl6u4By
X5vkY2JdL3uLnjYWkIzdl//ONP+3Kyj/L3HzKHmQv77lBPKDSPKzaebf6ydMZKg/9m+Vo/hLeIyJ
o6i1BKOFv42fWhh7UO60KNyqLVb9m/+qn9h/OVKwywtO5R6KS/EfnaOh/8XJAgyzqcbcLYYF/0n9
5HLfsAlRLkUYx0TiyD9epoqVpyTtfb3RXOtLMGHo4FIsCUO6HRmaeQhISCRCmOlVYX7/7Und/QqH
L8ZPLzaOy0tfZH+CgiCzeW1NhZzGVRi1KbKMZV+lwWmsIVW8fTWhfsmLmMwubpjK+45igRTiIiYn
wYAURsK1HpJUHsI6gI2VODg/uSKlpls96WECVpw68ybLenfjOQNYO9q9/mD3T0OJL5Zcws9Jnt7N
nXNjJdPa7DMLrkvwN84DjFHWAH5ixIOQVdvN23dPxe3V7ZPxYR5D5UQNH59r6L9tKQBMgHoPjKpa
aUckNU20SyV2viBWpXJYW5hCwrrKp9k73Xl9En+UgfVBTLVO+saMqd7XT7B3wnXi6l80WRwjU+4w
BD2FjiKD5ZSHMUnD85v/rcjHhBl2emnh6O7sMuI05QL/YPJHf9QKXTarIGv2pZb58xCunOWeht06
ARQ+WNGDtJJ9OI8nKLqrdKSN2Of+FFDnDeP0HgjPQ5XNHD1+zI2k5Tqtvk4xuhZntmcfBz0HLrzH
Icyo0ivP7XsmUWwof62d+ZbLj5kK87NsDHMnMhE+2ql+X2hwmIHjRw9mPWRHEU7ztyTvnB0DMeAG
oq65FgkyP1kXGHOxWSmtXx9/mBts2mU21iCZU/yuHJg8FtyAg9TG4Oi6mCox89DejQMM5QUM4KFr
S/crtj/OOizi8oNroWDsPQXHxnH360TLfcMEqzhVFsD/qu/0w2BcjyIabxmBCum8ughiEzMtt5Yt
lkPRcwndXtYI4oytVqi5yTj5EcORu8IYx1sLJEZbaRv3GuzIVTlHCB6zL7EbHWrpfQoHio8Or8Zq
aWMYLX+gSgLsPEHi+jhF1TeGyxbUl49oC4pf1fL/cVZAEIBefE6YjknaCia1X0cgyb5MwcLSqKtu
NjZ9lgF9j62lLNTxKkrXsDZhXBK6HmM1pbqoedUosGDNVG4NNCeuMb92zE+TGNaLMu8d+979OamB
VzPVs11rBe3a9lr9ITLL9O+27vsbZwr05/M39b+9Xf1/p+FXiQCHhN8C0CsF//8pfnzLvxX/QsH/
r9v4e3n61vzrqs34j+3v+9x//qZfO51n/sWBVOc8ZrKVGHSf/qtT4LEHctKn7OuxVizYK/+905l/
8d8wEaJqZQ78AxbSvxX97IEWawxBPyEPtZ39j3Y64yIRgglr0IXW2ZohLVguf9uLpLxtYd6VMTY3
0YjSDlH/qahoApLCt6sIFMG2XLLnzmZ+bfHSU2lQo/MY6mOujBm+uGQ+zkUKFUwwGIMx/jygX1j/
9pD/sCNeDgCpW6SRonsWHxRoXLb2F7cIot3CjyZsdm5OFYsBYcYkI3K1OfKO9PK+SXO6tdveR3Dc
rlK7Tt7ZJP+HG6CwIHhUDrn7yxsQqVG5MGI4sIRKKrFMoENxUV+ZcbCJ6grvyyAIiHndoY/qHhI9
9/H2M1Bx47dt+vwIKPLSs2Sf1hnneHkHrYxFg79RvWv6kIFow3nsMYGK6/cC2GXT+d8XsrmMBBpM
AfzlhRjhbbt5LutdUZIQgzPytkxiPJU1VBcPC831bAflurZbczWMI0yKQC+O2iTurcJg/hX/WkzY
zeAbcrNRCRz1BzMFyam+i51nTQ08mXLeNbmEYFRJ7L/oOW8su6rQuQ7dBjj4QqVI3AFFwp4m4EHO
tf2F0vCV3gBPwPwpOISF5qoC1UxMXKKbOfi0jJLVmlOHN1xrC5B3umVk8dkwl3TTDtmp0BggxwP+
dnG9n0OUP5iL8/fbb+ji8M2DO5cWaRgxVCWJ/y8fnLMUjEbHcC4sk34yZk5fEuw6XYlgOxBCcQTx
oHbqwXun5HPZquDCkoEbSjIOma8KIy8vnFeeU7XIT3ZuG8Fd6jIo4VD29gKohh+aGHrhhzLgsiGw
Bp75oAvMP9YOqr+tl01ik0Xhtndb9OmchxDQC5RSAdgvGFczRlgkhC6oFBDFjKhv3n5ml9uluneb
crjHtknByrks/uq9J4fZibIdJL/CR4JuXYPvqNbm4D3ATSs3qQP0oQu6/LaaXGhNxtWYhoc+g/8Y
5PbVrwAkp21pHW01r+K2qHYBT7S+M/NrbHCM68lcvr9936/fNf05zo+cXKDnwIx7+ciZo9X0ZuC2
R61RDusEBQpm6a8H3diVt657hDqazMQ7CYbK/l/GAa4s1UAi7TFayRcvuxfMcmByn+2Coa3wSPbc
Fc5erf/27/vTVVS5zHXRn9DkviinFhmoGA0zll00O8XOafBYaILo9PZF3Mt60Pnt01MVHNiwrwFE
9PIxlnnjOJQWmOsX2TOYM4S4dgsaBy42MyeSj9zTRvYWCgubwljSA8DFZyOUy32FSNMq+oh9Z/bW
hhxwkO8sbYN8Ud9nLYs8TdB3AX6M12bhPmq2Nm9pD9+KaW6uYkT9fjphWzEYGbAqHFk2MVi5DfKV
nT4R3yxjEuu49rQNnLpk1UaWGjfi1hIYXnwe/HlZu0wbLWTqFLtxWpwmbZ+EZ8lr7CHO04pV5FVy
K8BVggfl+MBwhRJ8nPIlPlmJeQ/ALzgEFW0aaSbPjejLfdtHgAi8Yq9Nnr7uUQlsM9gdTRi4CPiI
ubXJvBIEHhacwfouwhbL3So72QNrUKbhJ6pky3bIvEe69qzALuW+zfsi9iDoRIPYMKfyhIuutx5V
9J5nPLGrCTMRqTWuP00MpaW4GHJwSOQ3Q4eU3QhHKXPiUwvh1ge+LtbQOus1wJOvRSPQwEF+f6B7
QPIQAzzCzF7bOFnybET86PMwa55zv2HXPVA5/mmn7J6jiRgBzCH+xgTusa/aTcoGgvgHZXjeaE+O
jm2MDBo1cWe6nHFMBrxkG22JZcUOHuOJmg5kHOW6xjFArLO5M1e5zI8YznxMDO+xVpDtuscAj9kV
BnQwN2VjgSWcmbyaom0e7BjWb171H0gwdoFTnBq9ba7ansaH5lBx8ybeZj4rSE6dMCiS2du6zp4L
rxFYlQyQLdCM5+kzOFxvN0HL9UPJD23H3FqN5k0Ay2btYhXqcwS/TYNSrI2aPQCLsdQXPYe2oGKd
w6DWUHaSX2GfXmEimD5rocaK5c3OTvgMSod/pdfW54GZDN44Ux4Cs00Oj+Ez+kcWQaQgjfHo+pgt
HZl7SFYAb6C8LvnJLPPsQ+8ZOH4OmvuxBfu9JNEJuVm5j2a9ubYD51FHTY5K3DWOdtKTW6kXQ2Zw
29pNtwGvz39Sa3ceWTZ65YlVGwCdr6L45GIFCp/XvDfdzFNKr5OLmQhUyPhkdHwa54XbLNx3UExb
Z4IaYeRgDtUMvUciE8HW/PUJ5KwwOvL3bYchizWQfEpZLTcF/gWrPlbZhsbfV+aViQiSFcQwZoE6
n8+lwsRxJQQTUKOOG4sxBvG6clm0ED9P5xvndsli+mLZJnSvdp7H7xYWKCRQ6N6WAynxupr41Jyo
uik9JKHxwLtzwKJultq5Muwz9ghGR9zRL02m4QhwgppBCldm6gIcnwlgWqsClmPxZ/gdLF06IuoF
4yl0L7L6qYSsvLKn5Lm2uWuwpqdzuOid9LmbyKPdgUhQJCEXaG3kjRk7SIUnwqqB+rTqRx4ihwHy
oYV8iizZWQ2WsacLkRyz0k19alKuT6BKN/ZSPVmiPJ53J5xRIQFg+b1FdRIchJ08A1YN7kRSUkJv
cU6xabw2bVGhIxY+8fRHkRFMTMHKLUi6VszVf4LTTcjT+HsHYm1ql7wksK2Nk5068isVzmYqqooT
dnsOSr1FeIm69imZuLe4t0GB2Mu+zqx7zjswVww+FdtNTrMWJ2vXbJJVhpH5r9NEpBIWOzY1BPUs
1tK5Pf9CGDfP6pOoY+tebQWOLe67ihs7v4NKeLcxCpoVVhG088ejy4jy2ijUsimYswkEbe7SaJ70
RBpHq0me0yrMNg0Mcb8BdPIr0rmSYGJF7mM5W0RUe9Hocnnjh9ZlQGfS+H4TvswNmCL+lCu1PY6N
waFTbwcDMMY5l/K4hIXuWwnf4VQt0+EcieNJJWJ2mPkjHut8waRZwEMoQkAVQ9pX2NyJO23biX/r
trwAmB/VNi5hh2HGEd+WTGX6rgUbymuJCKxh/nq1r5gpN9Wq5Dm1rXujCTZozeedGVAuwvR3WKsV
hmCTBLkiTSfSbGGdY+tQsugaj8CTVSyrHFDxGiRusTM9Egr1drFmeIpxulo5EVGfU1Cxq0P+wnrg
VHCOv5mKjgG2TbsiNcyV5pUU0ZOW2ToiAAUrkwImq9rq+YCcJT3a2PusRE24SSoj9c/pcA82d9Pj
W3WjBdn8CUsiCnm4ba5MFGwrRnxO57UCTfWUuNEzatTHQIcPlVpNvRoGHrXabQKPuAi1XI3mdOnN
5Ni4Vmm0y+UAPlR29HIsgQ6zr4p66zCXyLtt4tsx5qkiRCI/t5wtrahon1UlGx6QpVuiZH0dy6i7
kiPw/tYCUDaZEbR9Y/G2aQ9HHo8imq01cpWyHWcG2iNL3zfVEp7wV+rVPKqMt4NRDavOjVHhOQyJ
xFP8DIH8iRmibjtxsvqueeny0cwS6F8FMP+w6j4mRc18kObGvggM40mXOHQtDK6QEZuxH/VGAMtq
0fdhVkMM5piEPEylBtVQXtFRdcB65crMYcaFdQyAKWHPceWqA1wakSfXS3NrGhGzMXIyDsx5nnot
m/zEgR49pAFTq+PSblMKdNdLw+dUFQR7dcwDY5b6kUG7l+293TKVGu09La9vYwYnKUMmDBSVWbex
JJMgIHLK1ZSFkhyFEleEj9QKTCLYaqEcJEnYusHCjKMusr0eVN2GgeGrzqufMuBKKwh2y2ow7fEG
hT8ASIjpu8rADTJOZMDlkYcVHX8ZZUv+7qXoV7Fh9Numtw4ZhgthFo4/U0Bbe0ZEAnwQA/zzBMYZ
zrhJwvl7zyjMSjMigpaGVQF+ZnAD647mlgDalKRFTFVUV/atJYavjLOAIo/NvZZECVPFow6oA7NF
3b7TRoaqGgIAw2LbEI7oBhvm71oY3Whjcx3TBWYRjp8MfTw0NmAZN6b/7Xnaz8pm8TkjLtBiMsQm
7bVv6BYgndWGedUt8h4OlkCiqWNTaqZ+ERIy9aQHrhgb2r6OsZZpp5yvVp18FuYRsF8hLMV9/GxM
pcegLfmTERBpyiKaP5kd86y84YXRNnYgWdjB85ioWS/DzT6DGJbXctGfznVxzWifCubDgHPVzfdw
8SThjd79Yjv46pYkwRF+n8wYkjHpnOHSVaKBAj/HcamlR1NnnwsJDugru402lN4OQSl/Sp3oLY/k
zjH5TN2KRKbQjXtzchmPLBhPa3LWbamWKAfmHVOxJ2/o3V2KL3LksmICLBVXWjEQNNkK1H0Orn5v
UH3YtbbBsZDdeuWRZvdGdEqt8klPe3JkS79vlymhL+GwQtFeHwwjQtOpO7BrnPAOk99jNQP7a+kL
64PVXLe6aD71WvolYU8LKZzXYvYOY0NQQ9Ka3iQjd+OSVWGl1JFdq3C6gOW9SXt2vMHtGM603Ecz
Tk+Q5o4kGNPd4kyM4NbmTdWQ18ABO8Kutjk3MtjUiZGC/ZR/hGO5GZjE2nYi47fGjX0rxyS60xuj
+hLrPPuCNHljpM5VJllhVcZqYCixJMHimeK1wnNGyf+5BAh4DTVjfMxrDVvYhuUmVPEqDmfMM9Jo
PbvEtaAlz4GuOd1qmin6le2pIK2aHQyYknu33cKPJccUy1DtijhZ1WVTAmYwdoGOUBTW0nOhRc8h
u33TsA+1hXUbmtzneUeHVxYrivupVms1ZJncBpKudkhOwOFabBJz1vDP4wJS7ZnFXDLXoU4ty0SB
CFJr6vdh81QCulsPYz9+CCHqryDH8rILpsrQagWHmcrkytOz6UOKa+dDjRvNOteNjRbqGMKAB9pm
nOiZ+WZNNl1ZMPplkkZJekOh6xnHsOIymWANT5G5fM1NJ/rRxBOmq+itqIAguPPKnjlIjdXkAWL6
lo0tf0uTPytnjVMO7OmYseudVz/nzQ0T9PGBw+ozRQh+VWY/uFMMdFLcFwCv9m3AzpVU+IZSqLLk
gjto6A03GH5S2EzVHhiyPvuSbkBLDkVQCKt7wLHM8XQe80CGlqyFHuENTRijGJlucjoS69TqDlqP
x8NQVdezWABj1Vx+zlzyVUmCFWvigyK3If+k0aOhWMIdlqoUq50trucVDYW8P++93sR3Gsng8e2D
/3lU5rKIgTQGESSDJ7quxPi/60CGZHCGMJnTnVZw6ESRgcdH1z3VFUXBRIddumhGyq/gLXcLPNNI
5D2hBvhA/bdbV4+6Gxt8wxx0VZrRO7q2sR3nMR2YnhXTAnbe0fYia3o/GnXaL6MaVdKwIXU7EuAu
/HQuZJ7PSMibfsRdHj3bE4oxq7PvoYChfNA64yjseTrY1ZQfFRGYQ4lKSh3OQJ1JDGkcOAJax2ha
q6QM50NYT6f1oYffpwXNddHCd5BYg7KiYkg0nHl9K3SDKwahp39eIqcjgFqZVjpKSprgLx8poK4o
D/lSdkHLkcN1xuDQ9lQkbEHSlafW5/gceKnjr/EXUqckksa3X+sfimKuRzPDlky7qG7Cy1ugx1xb
DIH2u8RpGZwWS7RvG/IkaD6IeSGNoCvG7XfIYvOdcpUh+KsvFhTHd0U/MgkY1JJeXpovm85l6vU7
t4YcZxHU/QTX1Id4tHMf857qa68nwSZgZArYS3JXDvnw0avEbjYn4+ntx6AqcBf3whtAjmi6DjKn
S0BSL3q9ikpwL1IFAVUwwLGIFLqdGA+25H0cEl3fvqT6eReXpD5KD5z2hG6QeL/8+WZBs72hKLVr
A9PdZPXsbuqQfzIybCTbZlgxTDj6ONrCqoc+sH/76n8oFtIn4AY8l7dPK+vl1XMeKtbFWrerXZKx
lILOuuBA8c4K/8NjpcqMfgwE3B/aVOymwqJLhsLQgGvWw1vwm2T6ytjkbetlX+YOVN3bv8v40w9j
sIeFi96E6v7FD6sLBM8TOj6g1Ul7HeC/tY072VwREijljO4j+ONihRSC2p4dnvIpm3cDpIsVfm54
Qg/xj+Uf6lxVxVT1EdGQsdgpAl80GZgtaGJPr/jG0uRrWVnzz1/Jb8r0XAl14Z0RxLOW9eXKsiyW
MZp1mNKqEfny3fbC0ewAm/idGzu3DQIMv9CsYlMGEjosWTP4OfubzJJPlZ5fZbrzqYnRbw3xeNOL
9EfnMi66WPHyjpL7UkzPY7DAsyOqZLWZhn0pozNd9M4wEdpd7g3UaTKSZ7sm1ACVZssU4qpneDGi
SPY3Ri/Vti15RVqEE32slU+gCyhMkceBbhB4apQFcG3bvB1xfF91SfLdbvdWp0/+IklBOodBGPMe
9+XnPowgOod9gq4k3MB2SdYO+gVMzugtqa4jyOkQREiWrGXeYT5tqrO1znBwBhZgjZsNqExVylJt
u/PGlix6c/X2qr1UxPBsVCfZQmRpYzFqX/ZzPWOYEOnr1S5kGmA1WzUYwS4cVtmYUxeDBoxtHB6B
U5fDWR4G/fwzKa2uZVYD7XYdSrVMqK8XZocPld5rG0unSzSovHlJyUpbqNE3lCQQ7LpUQpkpey+e
nadrXi47x3J1dKwM79KU1i92M2oZxPmGZJOkFMCk52o+NTUMJBysnoQFUcHOj2gsG2BBDgLQLEbf
qFfvhNXXPVd0w5B4haBzz/jtRds5TxazGpiu2uENcRAjDwaYxX1cDPY7FxKvI40a1XM9hGaQKZzL
SEMXJKhFlmK8hB1nkpD3GHO6bAESF8/Z0lLhcKhKxaq6jNdcuSpSaEACs981zgihP1bRCX35iels
8Ps55z24w88833RTqjNjweGd+vaxMenNm7gD7rWAs8vbC+9PL40GnqvrjApaCPcuWlMFJ1cB+bja
RW2OzWImAf0XE3T6lqxzYo5rY479D3VemlPKT30dPUPweydiXYjz1epHFkE/kdkt+VrNkIm+dSrD
qHa6LH+a3gxZTmBE1meNWI/ze1cTFyMl58uBFPOgZzGrjaz3ZXw0S4MhGVtU9C/R2KZVOfuqLbnA
ulpjZ2BRwCWhXrCDWAlXhh/ypXwCX5Pe2DnJvdTDU+Ua803GyMl+4OANwS/lZA6Y29eCdrhJzPGd
2cnX+6ijJhdoFDs2Ef1SSNBYkwP5l0/L0eZ4V7a4ZGkpFYhe5/xEKRtdnJ6907T8Q8LP1dQwHYA5
wvbll5SROoxljQ93kFDYrEtTchCf4OuX4NeivKOeGhY5J9r+Cj8P+9ozKVSqmiH1dnx9RYndOnZY
+JJxIOnSAcy3ZRoHSivGtiabrUyOmJHNsdu0uicMjKmmq5pIYXBwErSft52jollsUa9V7RcJGewe
5D+rszSjvVwcuQsZCoZeb37KarGsDAgqDEzZ2JvTdNhGjkrmgxHrC9WhZIj3/qwJPPc2ykzqsAu8
7+okbMcdl5t0OhTBV+gm0xrztHG7LCzDt7+4P4YNpGYIeOgJI9+8zAZcpi0aSdgI5y66S3PamApi
DN5FdisKy1CVJYfc2BMnyuZUsyGKbIqxdqGaiWxT2M14cLB5+BXrsSanNTrjPgCoubL8rhNfzq1N
WRkemp+8OeS0u2+jhJfw9i95ncC6xFeSVxQnuoA69vIzakJJCxZM0a6AvbXqpxEHakd9EjIarsPG
wy0X4vUX6QaObzpD+s6eKV/HX7TEKO/QvKA1gm768vqeO6XeOBXlTs/oopWime4AvXdwgKiEY3kq
PxeVlTNQFKVXvcE3kkp2yEmjjh2rf7JSzCx66Bt+uLBM2bvoKOHB6eOn9VXHJiydyyetpfh67j9Q
2jDwYKB5nYBYiponq1LdAIsie0JRcqeDRfPBOVHOXar4vqlH+VnPLL/SvWMzANm24GZsZ6V5yUOQ
X6FH0yPT9J+yTbId9tHzLnVoN779kv6QWTC/AYeUMRpMgCxbPcXftLZ4cqVFAlB9V9OkODcIcqla
wgYdoSrmM1y6bITdv1xNOiyaJSZjwFOV5kGFCSttmEXvEU41mEqyW99nKr7V9qNMsFYMuupLQUcf
3zV6EY6ez7u37/513GP0goyC717nmHp5Ruo7rWpzCi87zZU7I6C/qEJFOlOOPFejsiB/J+q9Sp4Z
4ycOmBzKGOpmY79YVRFE2LlJOQlS2q5WcwWJJ1ad+3Mvpj2/3p6m0EB8QcmBaKRXbcChg51mYgC3
aWpY4BZiFiiXxJy3n8flRnm+OYZQ0OWyAzKk9PJl2rObJBpUpF0c1SalQe4Btwy6ALynTD2Vf3w5
9YmjVDINDhOvtp20svAsKFNYaGrVOvkRcBkRqWXtcHZ8L4M8C/R/zyBR3uI7xwy3ErIxaHOxVqNm
oNvYxNEuiiLr6MWDJBY2DvxbwHhNitfcmJKRxAUmxIwgWPvYGoO9YWjFrcTR7u9R5t5dAvjANvsP
re1CgrdB8cgRTuTIN+pTXWmvM7cqICvgRVJ1RXwETeyhVsnpbi5dsW1j/vJ4aGzVu76PKYdfwVc0
tmXS1r5W4vXL4Ha15wwjozX8u9GXuHKudZxCriZMaqhI1psmrCWzXKF5QMuh0VFJP+CFDKYSORh8
YZNniA350a61BAvONPxQcE7eLoM2+FnhAhKP+BeR0E6GUtsZY93fzyRq2zxDDu1gHnoDpBS6OBkd
FUFMhFcxfWq/SHPzgEDVQgeWeolv53WxLSoZH/qkGUDqQvGiShaYO9Op3b0Xcw9Q50Lqux+rTn4I
I0jHGtVhDOAw2E21xfjajziUdAyovfOhmZeJOsh9kjCBiJaopHNef7mWvbAGRJaxy6OgcPfnc4+Z
oRqBuklnm1wqEbn+oarrgnnQUaFxZ7kRlXqBmAz4boORJ8oe8nqncRKgR9H3TCQwX5EeMheOSYTF
AtrgTJr4LgHSx+K62NJEkKDfeNquicfWXI7y6Km/Pim7D5C9Hi0Htck42ShJrN7c9E1e7KE1uu8U
nC43L2R/fFB8weQxBJpLPj2R07DMOnXB/y+7JoICRSf27a/3MnieL+GgMLSwdYO7cfGAOYVZFAJC
F8FAUvnlQPl1aCBRpNWCGKRjnGvWtPdORZdJARcldjKqTYVdhY2LCAXky07sSMFfYY1uaH4162rR
a9puqYFggJYeVLv2qmz0YC27tH2nrGVc5vbM/qgEGXwKlVXGYy5y+7nOcVrIS2cLyATHFax6edvm
4ieJumBgeVeV17k7ot0jZYd0hwnq8Ont535WwL0IY+oeKJELzjKK4X5xBOWzaRzRaHB17RRswly3
+1yaDQdxHbxYM8Qec6R6+w174gDLaEfelhOq06IT7kc8KBY/Gpxm3Y4y2fb5guVJK3iUdUt2F1Xb
PI2ah3Ge2yurcfg5XeQc61raWEyO9WcRokoADgKRePS6O9MJq1U0aNk7yZeyDHxRvWTmH9wJMxOQ
5Sm2XYop8Zy0Zc0Wuu35qo6jybynXoXG2sOL53D+ER4m23f6GDrKsMZY03jENW3RFx9acrJeSMF8
k1rE2oyCcO+FEV7cZaLxXevt1bSI5wotxl4bbCRk7rD4cWjep1iTbKomHg7LErX7rLYbFABQrewJ
nqZltRtNmYMpZsAms7sFhQ8IWcadtG1eQVVpAizQqghOblO3txN/EmOzAYlFFD7MGoA8Oxizu3mp
Pi9NYhKE+oM1AmOH6Jsp77ThRsRO96SVyizgP4N2d7/Wxu/jY+arjZ3HSREeTaVDKZgJ9ZfBsPK8
IF44N23DtKF20mvN2kmGYxyOHwHZAMbrJRCSjjn12J6DtaDitU6s/0vdmS1HbmTZ9lf6AxoyzMMr
IhAjgwwGZ77ASGYSgGMGHOPX34XUlErpllpmbWXVb1WmJANEAO7Hz9l77colz5YcKyWhe5UyX8aL
ymsmij4+wlZV3+pJgCqevfnIb7EhzBNUPmKY2tFI6nxuur0lZfVjFpV35JQHnpZ8XQYqrbmp9RoM
caM3KwVCVpdN3QbO+H1OQ3qdzs3fVTY/8hPAc2ucuXljccLzAn+DzHxXpwpSOiE9ZNZG69m8yeQ2
XvVxYAjGhYfsoNh/upLYHjmQpGQouYIQp46PJE+5u8lMqrWIQ4BdWZk/kAyFvCPhtUtnYMG+a8Fz
1IeKBxNo17pBHLdWG54RmEBipSWuWHWqS4gAWKVxijW0BObd0BvPpqJl/uQ5dwBvv3DW6fyK+dQx
l4qzixBtnLBOuWdJPRnEGZh1r884jhdxBXRxlFub3sDWZOS3YTDJg97zkaOXGX/Tw/mrZ4fJhUnT
m3XnT0UhwXcxM0qenT6zPnEbuOflXWk6SIc4dfu/aeN+A9j9YXXDW2kZKNTo5Oqe86OYOe/oVamd
ZIVFTrUGcOI9IyyLjwTiaeDt8nFjqKG4JpY6Pupuw4LXUH5pAzd97GsqeBLQV0wTn3ovvBoi+xTO
VrvRUPkQGT9FME7rife6F0he+ber6luKnsdz2Qi2D33gbaZs/yzber7Vl5A4rcaipsHu3JH6pDE5
HIsr0ap2kJK3tYmRxD8MfdZcGPiHa02P+9uKqELYvug0UlOjxWXPdRApHG0Qc3l7JrK3En8MXPaJ
lWP2ulNuF85Vg7viNKgsy20FybRdLoeJabYU4v2DNfFstT3bDIlYbr6ydEdsSF/nLZSKuNbVksTm
piCfOgS8joiZcXYcl8rGa3LazjjeNzU30o8dzQ5iekFUoLwQ899UBX/xtPCQ0ItZ9OjLLvnHlaa1
7SzNI1Sx0HCXNYT711QWm1Npwmq1eCH+9dL2589jqoginRKLg7r14yndBi7bKBAlN1kOGLmveBuQ
zXl7NEfujqz7+m/eBu3PhSXHNou/TePAyzDPW67ou5XERd5W61FkbtAxGUGywEI1zbWvkpxBVAEe
9Th65G5FrQ2fqmt2RLryPaa1EZDsrK2coWAUMDjhauTkvPI6Niq156sGhdEgStDktqr5UxK7bC55
y3JtFcvmboUNO0+Sna2ifJuWZSQqrBDFNQ+drWVv6BfrANsuyzsR8uuI3uQ9yM12P9vuKevjdMOU
4bMuoU3Mg/WZOhnkL65dUeW4meAKHulr6YHWjTRWyua+nXnWNYWV/9vWWqWUWo0bxc8oygxy7hDc
a4h80YjwNhGFAZqLR/BYxpl6HKQptwSSs5vmKWLwirokTdhnurzDxrm8q5PO+tHk3fRezKxvac9z
Ptc84mlDCivKYvaelGWXuL/6MSGeasN9M4iX44IqxwG2VrDXe0rMFGCqx1/+a8bznkydsmkchdN8
iTIERMFQr0akBf607Loi1sk6T2APNNQ8qMMG6gE5koOqje0+lqp70moG+B25lXtPRu6uJeHqVMT8
E2zPkNhCT67bEvE3mm+5JcyyuU40VEQF0Q7sC/yZCtkc170yz+uq18A+TuVC2Aq9vZ4n3LsMAGY2
2w/25Hzk6HVXaWbqe97O/gpPjRGwgvEUW2BFoZlSsiSU0d9ed8/m9qE05RMUdoGKHPtVnHP/Y8+Q
HNr5Or69Xf823+fyQf9hMdkaGEYHUM93y8yfPJ3rty/N28+OzrcIP+furf+aJd/bOX//Lb+QH42f
dIP1jt6CQ21OyfqrnxPy48+UQAOHprvgCH7zc+qkbTNLXgYTEIO+wf1+DWhSf1IXFAUgBI6xOu/q
PwEX/LBGsnPjYqGzj1sSGQQd1T+uWEJIfYR5EwYDakCB0ds2443W6thdzL/pqP3oHOVvZzq3rHdL
pbkcU/74WRFIU0bQbYgTp9wg6blMJE3AqtoUrNGzV7+gfF/J4cmDdu/MN1E+q6vYeM4i3deT8Thm
1cYu9L87tll86ndFxc9XxZ4E0YDLs38UF4VVUnp0K8KgiidQtvWehCqEsLqz0aIG/SLWNyVf2Q3b
FmpUL+rXE6FAhIri3JPs5NXtd4/TXxTk+rd7/sMVuQS7cQq3+U7+dHrOY6dSUOGHQTt3MeEoxDIX
lnkhKSW8If0Ica2lZDdV1qMXHu2ZsQbTYsgFGEnT3tzPcfGqNIVFyoKWHY3ODY+mmewrp9hUSIwB
Cg2vzviRAWzpIb7YZXGye1L+Bn90gc0WFpPCiHAIjJmtCjgRwdISKl7O6zq2ACtbJxXopFeJTWUS
nZiZJy/tNl2cHGzlMujlZQ7ztY7W1azpdLtQFYDLYUIDg6YfIjvcdhjXW1vfJXnh183zlCt7cOZ4
2N+V4mg74OfNwThUk5/p5i71HvuOiq1LsRZNTFyq0dmbEkRShzy5RzZBiCmmnbyFTSCj29k8JI64
zlxrxYlvRQwPOrfwAGyfJjwJXmF2NVkcbfriQNj9ZmyNnZ1GOduP3NTCnTbKkOMOcdb0JCmnhqXJ
dephvLNDjs6AQZPPzIagKvuNUZd+az2BMDoIIlIJzdproCy6rIOC3m8itMHCKtnlh1WUtdwePsYz
11U9XMrGuuX7RAVr7Dpp5xCNemogprSiWWs1avAbQmquCL7wk8RdoS/zmYYcKpM3s3cD4G4rJblL
h3KnNNdT5WzIgn7r0SyZJrrJ8rVtPwqEPBHx08j9b1oOWN50Tppi5+IGyV1nk+TjijjG7hofdXWX
yPA1cnLlNNV8cw5dQ6USwwX1Jwho8nN9XYbeOczN8iMyajiaVcVNy/tKQEMssq+QkOJbfY7KN89I
HHK5reWlCYkS0cJ47wzmnaN1+oOd6kQUQxJ8gYqC9MLwou0wOATd2pkaPeZVSjznZIQEXBVzTXAq
cng/tLr8zk05Bmp266xlMyuYmAaceVyFPb5Z8I52MAk7NMd1H53ivkqujM64sZrWvm3m3rlIPa83
/9797/vt7/9SduFy2kOCCTZsQaiwOy1qmt86Dv/D/fK/QCP81/o3OAIS8+930L/8iN8304V3zG5l
WQzQF2nfLxhlgD6M8lETsIPT/lm6ur9ggNhMv0mSPP4Dl80e/Bscgf+0ADj4ffw5y690/8lu+qcT
wNJ2MyCGM7OwEZ/RYf3jHleHYhDRYpAKhwdqu5N3r204CDLBAmoTrjjvJ9ZGbS/GQ4HqvGOS+tDW
CS/jUzhKMFsKlhqTAMT81Qv7dRoz7cbLpWwIUdkirkZ7ne9j930aTZCOEdHdyVM3vOoJmvmJwYGK
LaRS/EGfblDk0qw4VO5nM66yHQl9vX4dfYlJkyosmMQprxCQmG4V2p95gRAYbU6MY02z95aQOdpo
7ZrRxJqo8VUWT2RmpwQjgzYaOYVayla1RbMRmoxWZZddj/Fr4VGAFsM7dtSHVqq3eT0TCBAh07aM
qQpa0JBm8SGzG9vtpd/hTiR3g0N5NJCfTUjC5A+OftaEuIuyeW8YZIdP+k4x80OqAitFwYP4kuNq
Vd3gE0n9OgKHioHPFuqZbDa8U0IAMC1JzTCLVVGbL6pQqGfQIpVRUHpwxhiSmC2YInNC0417xW7W
2LFORiLPEkWXFhofqWOfx5Jrpc9pMdDXH8dkeigVpuS5F0QmSgQBLxRFEUhjm0QdHEvJOcIW6tde
iwvRTa5rFnwx/k33A/PiD5XK8t6plGhMqRhV/alSSXu1HZMS7vw45w+NxIhhmu2Z4PRdPNgB7I96
nTn2QabFNqtuCDbY4uA7yhx43qQavZ+3kKhCjhp2ku1SRd0Qe75pMCX6XWicjb7cjKN1h0wGN4to
17VBGHtxVDtz21TFUZs2aBwI2aoIMZxvyfPdIRsOGs27lnyF1ZR8mo11sdIXhdu8AGfRum8ikW4i
LV41bNH1YKyZZSHEYnclkylqlB0d+nNjNZveMM8T42rbjE7jRINwJKstlvei4hyr2dsZnpD2alu9
L+buUNvztVoOOCLKqPYdZ4x9j6eStPcNnNMrtzg5NcFUYQOJ1n3P5bTLMqxPA5jeTqGoSbv5akZf
67rh21RZmxIvUM4v9MlbQfmnTQeWiyddj65Fca83zamBXdRqw30xvs7CGo+VPpHtVmjOSx0a4Jfi
7FnhABlX2tYWPCKDbbJZebvaaL6oyDv9Pp9uookIUTcsrbUnje5YD5B87Pn1u9X1r8rHH8Y731Zn
mCOGyoGCkuBbt/O7HsRcqm5KZlwY2GX6NVK6Jwwu27DRXusmpsZqCE5pLnWYXs9df8MBdS+AXySJ
6WtpW2/ILyEYkAGeaKs9auwbtPSsXfICF6lYxzI9CyCtlVX8zdON8vqHp5vTARhbxHsWf8LSt/nj
ytlWuPx6sqiDmqGaL3QDShMXbBG91s2kiFBYhVlMPATrYhXZO4XkNL/Wujcq9ZGxah1n6DKV2fLR
P8xLI4BnNtKhziY7p6PfptsZ5gd03GG/NbLxnIjurlK0h5kkUbrNXyJrvMsZNqOJlusybiSIpZQP
tmUZjBCzGcbrn2oXA1mTUiHrYpA8jCSxZ9Vwifv+PLjdsbLDiEZ5QRHCQR2+9WvtzBqey/6eTswN
Ie0k61gV/hcRB5ZR3Q9S+cSynq3cxP4kZuWutcUzNoVt07ck9WifVZZs4xF5WMEVRPW+QSwPlWQl
Y+txyLUtjUo4Ic37ECvgLRi/5kMAcydSh5XaI1BKracC1O5AtBPciYBO1AnKwbmV7B6VqjNT9naK
VkCN67on0ciHGgGqXZjPc1o/RMl40xG/tu470gUVCYe2XtUwE7Cd3FnxsFPJhyyk+AjV6g7K/qHT
jbUNJbQR1toW7hln676shvNgIqzK3Ltc03u/y23UL17gEZCbRNYmitUNX/2VqmXBwLDYHpMnxMm7
3iF706lW1nRSyysZzkE7WRvpgbl0gKzjFZ7vyEBapQlG5u7owToTRfhE1UegjhMlKxGi9yLkCwhZ
EA9YYciG+UzjeDVK+9wR1Vc34qXOKbK9VjBs1TN1NRuk4Alsa08id27LyMA9VtfrohkGQKE9EZni
o87g6Cv6Z+Lm+1DxnkwCDUKl/OLSSa3IJiaMPrxCdMlP9OVZ1ulOR4AjyuouH+xLGomjqU/DmgAn
jJXWRMSaxs/LNY4hervDOozagp3pGQDzzhjHXb5gHjAYcuyU+YMRF89Ra12NjfGYSbdE3vNszfX9
mHeYRUW3r0Pnc9aNY9jFdjC0nU06bXScRptoJ2A96yZyMwyX8xVcXp/e0g2GxwZsh/pmtnMWoOu6
lMb0hsULRVEnn9XMiBccZ4k0bDo3pnzoZ/fQO1BxDTUJlHSf6tYj2dDFSmJV0WNxr7U2ytvuqI4j
QvcZsnhBemqGHXIY16OqnnPQoySQPuZy8N0GG5/pXexOOUXpCwFIPjliKy+Mr9s+uTVyoqx42k1R
fc4JNHLu2Dh6d+NkPOk1okRJoJdWXyDT9qn7yaTvdUS9FunjRuu8D8GZKcmdnmOMdQm9ryjF0OMF
pnLduNeVdm0ZN0V3EX1ybpR83RmVbxsQd3W03e4DjveFs7Aq4UwUNmobkld18TVNJiIk3SBtnx3v
frBiPxlN38g+vSSmz//SRXdORLgcJkXXvFVw5UUth75O53FRTkK9kI/DdHS+UkPCPSeU1exRiW3u
GV/jhA3SJPU9gUzEvtGGDw5oq9wxnmUHEGDivU71Z9c75+OAlv1WjUgcYK18gp6YrrrEWkfJ+4DX
Nu8+R1GuAP68j4aRbby+fVcqe5c00S5NtC/9ICQH0jj3U+jUE2M7nJbDWp9qX3qluxcxnVBC4FBP
Rvkjgq0oGPXJ/KI0uua7hBqWhuNuhnI+Wk1xH0PrX89Cu/dS5aWcpqcyne9xUJ7nUDp035uFrGLQ
y5ApUsLMheZso9/qh+IDz/rWnZ2dRLpkk0O4Ul3KqSge7xSzjvxGrQJmHwvq/02i9uo0PBVDqK3I
B/Jn23nP+/5AzPFXd+ruvaKqVrXQd0JM0bpsKU28MIeN7ixZPTTERS/vM2OmtMsBH5hXZWV8gstb
CW0bSftgMovQyuaUDvANNFJEa+t6muTWNWodwAhTncacYjoUlrImkDdZS6tBZmN6MshSZfL/O55D
PXM6yrTK8s6pLmCGuN19oubPzTIgz0vSxKI2vBixduDeJDhUp97Xq3DyS8eRtBG6zlcV4r2Jc7r7
3zq0/me2Y2m0mBQC/+J4+TWLf+y+/vJDvxwYHRqp3tJDRXz9rZf624HR/snVYLQRfIPq7o/dV/cn
Fz0Uo5wlxoXhME3DX9uv7k80XvkpQHyMl5BG/5MDo/dj91F1FySUScAUdTVMox+qnqSwqpzLq7dJ
E8+TT00o77s+Gp7jXvY3xjjcM5BXLoUhF64ryb/HyeTMYVVEeK2tQWQvedr0b01dJvsQRxtvlk3n
i8Ghr5lSbpIM9sVoq+OFXx/7bC7VOUry7Kuw7feha+31MCOZrgX+KJs53LnyhvCeIRZY41prn4zS
zN9KFziCovOUtmEKt7W0Lli6+2OmMSQfMdw/GsJWaUrNIW+tRzICcNU7UAfPoyJMrE8YFIq0HgNb
UYYtEZr0LXU9WbcLj7Ob6js1N+IAj3XpG5X0LuSGYeHtZH1n5qZCLrjIgcy0OhuFRHlHXOAWBsvw
pE+jtWPkwbIbVsVVb0Txu0sv1ydMT74TTdzeCwhYW8BqdDhNG3qz2ePFhHaPQ5OdL9ReUxFPK6TS
ZJ/iR7satHGYVvrclTkhsXJ8NXLBSg0XlUZUbfbqS4m8n+APxlA+EXu4gpreOmHDF5Y/Oan76CpZ
e4xrjWAFw52r3p/Z1YefR6n/tuHL/9XmE7OV5e3+m47Tr8zNH9pKv//wL0vDMn7BqbcIGDh4fPM2
fNdL+n5mwyHru14StkVCaRh5Li43ruXXpYGZDaokiJMMOpbemPmPloYfdE6/tJLg8zMFgEKo8kHf
D5Nx/KPjLjQTz1Ly2Tn2tdNY28r27kVYETYqtCCbkMT2SnifRDqIM/vFISO4817jJcJVU6JjGM+P
aWdvMTJweIdMc4VL6yBBb44OSddhf8Lw/FjrxjaV0aaara2Ym51arcqYTnJWHQkAtzt3Yw/8LCa0
TDQ7s872qW3c2o11bdnGdqjNWzPUkMFyworexyjeTJWHFL6+I1f4bh7x0VKjm3G5SnPVz+T7nN1N
EQPpfN5aow1RZDg5lbvvovwK0el1YY6PlYFUUhZn21KDagIrCEmFswmj4fCeZBF37YbmfWtHu4aw
sDw0cVjEXk4zvtnN4UCTIMpuZeTsjKpdOm79q2y8e9VtnoXJLYtUE9yNva+VNMCv+aFIY11X+ZUJ
WOa7zegvTuM/mpx+/hIdUG8GA0CemuW0/t1pnCwivY1VxcRlW69RH3yTMkdDfWNN043TUPDEoH7T
2QkUOiY938y/voAfxU3f2gEqGnYbvecin/lBkgCTzi09He4o/AiMzTRHumYzqhw4euLSgzTWb4iA
tLddOJ9FPT/2RWJcsZ0S3mxj+3P8r5Mhmw3ZLzagFyPZOFqYB2E5X42wq7s6TVc2x569SkMxx3q2
Mq0sX1McE1KbNniE8HQGA84quC72ci6yiG03jjWhp+hNQjXoWv1jGih+hnG+pf+ynVvUBbx7T1Rc
x9AZT67ojkUd14eyrqLjPy+I/mdo4v/vv/oPrJxYIel00+dm8Ly0vJlkfffY/KlHf/X25S2N/9iB
/4tf8POq6bLKsfoxm8QPtsyoeaR/CzLERUUyE9Zf/sdSNP2yaBrOT+iiWMOQFy6hiM7v9ZShU5/B
zqeUMkjKRIX/TxZN11oa7L8PTxXM/PRGF3PQH180MyPFR0slOKbByTek0nqsGBXUAnKOclhChlfM
R0cp3G1nNO1BlZZzKHWXbk5vS3E9VHQ3gLVPVr52eLIfQZh3OMXd6bESuWeukNtBPGuwsWZ+QuF/
ySvR3jqpao7oJXNX9Q1nLhNaelGEhJJWFvNb5GhMCBdN0Hvv9kq178vSPLW6ZRyyURve+nAq3quY
WJGAoNZqW+ZFwyjQSojpzPrWVnd4BezXZkqpoIgQGqftpEoVfF2W9fW+LRUGBvUUm2LdVZqoD8K1
k9uxcizgHXNTIylndNbh0UVl1PXoihgSvOhTmp/HUZuU1djraU+zZs6yDec+QlUMK1ZfamAbYFEN
hUMbtZxzGYukp89AGumHsJTx4IncPGhdFF2sxd+9pHnfERLePQEWsM453ukL2SH2VpGmt2Mjmbc9
YcFBqNhOeNWzbawpIlG/RTbHaXYXd8MwG11opHfxB9YqvkfKqNgLMt3u6c2mw3ysFNv4HMJ+vFOh
in0l/TAHthRV9cusp+aN101siXErEEPlpogeHDProaIx2D3HladeT8gbOAyObHM+UOR+m2YJbQIR
9cMDwjflkdMcDGF7cNQHFxgQ2GS7ntIgIfv47NoA6YU2AFSe3RqZpuS0PKpRe2Z2QmR7WRW5E+RV
6B0FIdVXooihjdH+LXaOqBNkRXntNT5INPkKy1hp1pbZtV8jANX3FjDMwW9NGXKslooLI7lzT2XV
AEWIyiLL1tIz9W0KKM27sbwuqwM5iWJcWYsTBM4uyM/TACoogT5Zl2Yg+kIxNsiwnK8Io0JGRQQr
hWDti2oObJR92krxcgEtxWqqVyKz42dVJ2COs/dY3OSg3Hqft2biND5k+UAEmEP7jxvL9Cchh5n7
18MPWhl80AizfoovlhbXDXffjp7z1gg/E1E504HQs/BrGtpyR3hfp32gWVBzP25sjRZsHkLX4LMk
HKLGiMsz4DXtin5EEdLpzdx9PAztR2fHY6A0VVes1STn/7d6q1xpSlKmQd9R7JjlPIuzjHu7880x
tOhnT/lDLSPzy4Qo7mWM4HnCrQsJqaCDtmTRIDcRqkIajqkVw76KHby1MS0/FdiNbZtrJu+Zu1LL
VCIb9KJuM3kL2ZQTlPvV6xubGXzraYHrZBbMo1E6t2oHcLpH0I1vPu/oWwAcfvcaq30SIlavzXGe
N1bXEgSaxyMeUUxt/a2imO3T0Fh0rK2hPM4zqch9RpOcdrOoGJ33YY+Z1SMPQynjxYFSZNyLvIxA
u5Gw8zTlbXostJSIOqwPrcGAyyz3hYxGnQE6PQ6Lp5LpmjqUsR9bBFT0wrEDuy37D2+mw8oArnNo
JU+zPGVpNl1sb47dTRnCngwyaxrh9ynWVqsydQ/HjYGLztf4Aqpy/kKzJrIDXao0Z5Elnzonjk4e
oufYJwzeuQx5ldz1vdKR/Nnb2l4d8JGbbdhcEncg6j7SbQkYq0CPWHbFc1nGTtCT67RpYaPfy44l
BzAPdG+RDnT2YYDRaZRqV6CJd8Ur0eLljcgaK2gXSCox8OO+C5v5SzcZpQuzIC61bZrSomJKN/Hd
IyCJYS+TM/aCDCl9cRgODAcP+xn43tFp6NKo8oFvByKMOkXaDQ1+2HaZrKeDYo0D2Fm3Nbxt6aIT
DhOlS1cqcc0Vz6oo3zPEPPfS7HgIa7UDeUqNJ1610oSAWQ906Ou6KTOUNaaEN24vQVolEI7Cx2hM
s1+v1OqxFZpIL7pbAjSTk8GiQ6Far8HPqvoxFpM6rHtu/xw4ycJKtaupH8EWDTTVGnVqDRxLVXOK
5iXmdCi8CVZcBOOyqYFujnEUf8ZKU66rVk3uI72hZY0gnO3GyVJ3K5hcx6ssKp0gnDRaaGT3Jjuz
UMlzV8p6PJh9zZTNmMLs0A09aRtWTzgGeVOyvFaFjsVai0jEQq06noeqxveiTMQ59VjT95oMafQh
7CF/KtescVOTu3JlNJpiES8uDU4cRgwK5abpRkCLcQmw0m/afr4CF1kFXZ4jSlJrU00Byefi3anT
IqApfRxG0My+yDp+quQKb6vSoWeRucNBgmAyVhid6c22OA2EXw5qso6kUx54bazyKQdxKIBjtTvC
x7ayRXbpT1r2krmNd0SSQ/2QYuX148LLDrGBoJ3XBbT1OmnJF/BZdgrWISbhjXaBMHKra6UH1ruf
v2TsBmzUCY1GGp1HPL7jagJ1z/y7lZcCqvCnyeazNSJpLOHHb04zEH/YedluHoxop8u2fTBGy9i5
KQm39H0ylN40s77WCdOrFb0X79wxQN6kQM/HFTn31UFjNBDYU9JRX2toZ4wkaRrgoYLoEKOWV3hZ
QYH2YXrKLBbyQAxFDUoRZvG0Ml1N6Xxpa2G6intFg+Q5eQJHbp3u56QtL4jQssPIo0agixTH2UvM
I5Mw1EVJ1bXPHs/ZuiUp8gOLiE5KWGHWN2aeuZciV52dkBKBvlmReaCPiv7F44FZE95a3NbCY5AP
Bs0M8jQyd6olqwe14BQwdHz9pVfHzzlt6BxJA44KJmuR6muOcK6L1LM/tERyQGy8oUSgJ6vllEfz
S9JDq3UUUGOkVWdb2uOpaMSEiioV0XVrtU5glE6MtfTbtDerDEnNpTuv+WyIaYWcYXywzcRkejzk
0dcwrmPOmIpxJbrKyVdZzlvoD5Uk4lmWXffSm5MTOH2NhQr7vMoCEEYvjpoiaoiSHuaQHSuvKTqy
xBdScLils7+N3cq5WZqMB28c0k+utzlDqJnevbmD/jVXU0t5ljRZ5feNK++9aaCxJdrBEmsjSlxm
dBwhb92ocTcOirbHGc/UxmHa9YbvkVKjatOBsLQ2ZEwJ4rRoVnptRFu+quFKi+jCr50kbG6TxrBr
ypdF3QFjhpVKL0eZBVUXN8nBEUpXbjvZNOG+aqQarV1vtLNNpsXaNUoMhuTOQHaR3qrptEnAZGn+
iBQcZo3euEfUH3O+AtrQShr9HgNoF1Geser0GnVdOA3NyyCTRgCoRCG+SuYsPCW2bpRriwT7PU+I
N68Y4Mq3KHbY1Abs5pe0d7j/RAKamMdz0e30Mc8eTTOuL8yQaZM2nIcugj7putf6aKWA0z4mreXe
aGOnfk202s3oFLSkE7DvMhR09A4feuo21t2UdUmMcJ+SwB+aNi6CKMFSv9YUjjBn18r7cDP0lrlz
Mr0s14RRoMnJ+sJF2cBWsbi02ir0+RaiaDV6pbO1IX5cskyv6vVMpjqTLS8zP0WueNa68Bg/e5Yy
vSWuon5x3azrdqSxspMjdZeLCkIUaCS7GixKJkQVZK0kbtnMok86tMlFzijlJ6/Skg01JjnBqE+C
2Smb228hK42DQQ54u2tvJqo2sYbdqgdeDKnCVbuUYZLdhm/eUOsXtaDECKh6PQXpvWdlwYi0LqW+
zpTPDC8gNVrX7L2ZP9yf+7rcKBC6g8YxeE1M9mXig8dOo5Gslm+GV1c6bmhoyWG/kDkrfTyXalZN
kL7KQffVCk4z3hUgK2Fex+cwS829kbrRTarmDMvw9Ds4ynqdSWBjDC55IPzK6AEFPdekNUb1WA2O
i0YFPednmSX6pTEyoKKZmtrrLKy7tSKwCDkdJKKmgWsn0YgGdmhU0SpEBV76UwRdNCpICuhmeN7I
gFPLt9SoeoszpTmm+AAp8LUZ9o3UvM/JdMJpC5GJfgT9OOUewzS/xY1bax85bsqRjDOnvkXYER4A
iTcfU+YtM3NTiy7s3FXkG3riHZF/FBgnVdSsI+79raq03aqv8es47CFB1OC3ZH6ewiIRzrw3gccS
b8gcnAwdBuckpeL8kubBRBn+TB2A8yv1CozMwK95abLSB+VHG97DHrASzMDXo0i7S2mie/FzI8Pl
E9ZZ7Re1mtw6KtNerfJiBgrQkY5qrlNOWWkY6Hb4Tp3qbVXeyaDsZBsQiRi9kp8m3yeQPrCbUXZC
X9DT16gtndto1trR53QgDgOJZttZyfPVFMnxfhzD8xRL7UVTs/jWSpolCXehGYS2NR6Ishp2ZpVF
R9uuUu67nRzcOPOY0TuJtS1TVX+qYW6zRiUleOZEyY1NrKoJgWmmWeVofgXVbJqo7xZLzC6hLA1S
Xpz2NBTZglUzOBw3KNmY/iVCknAyZ/sSNGfiq3lS3pf4PzeUcPbZtkfzzoROt3fsVjmXrWUEA76o
yY+E3d/XSsUwkZVX32NtJix07ON7Xr3wJSaGjKUN2gzLY5SwunS9B5u1UPNr9FLxwQhj+9ybuk3O
nOtOiW9A8j1ZitHt4iQ2rhN0tmj7CiFumqyOprWl4jKM1c7Zh3lEUEDYCXk36VnygLi4P3tKZIEd
C7WzBrL3a93G7abxRIgiTZ8Q8SmDqT3psqSq11KxJ/VAnBCWSXDAPb2MXLJeJV2nI8Nzc7HPlmSM
rsjzbejWTIM9ZdzrlV2tw8wcj0rGH5s6/BI0CkVNyUqyWmBlRvfUsNXFfFqdbVQ0keuEZIA7xp/u
vYwh4fpTV+nkQyNP29QpINX4/1F3Zs1t20Ac/yqePPSp4fCSKE2TzDS2m1OOmypN2pcMIrEibR02
JdqSP31/IECZ0FVLcFqWk5dI8hJYLBbY67+BP+9M6AYl61pucXiGUTLueiOPVJnwBpzF0P8rwhgk
B+v6EqiLef509n4RziO82GF2enN52Rp/HM7D29+bHMqs5d31pPVLfjOZ9S/D+eL4R4zz4dXXcTB8
HdBWGkz8bD4/IVOR4lPCX40Pdxwp+QnNKgBw3t+R2J2M+PfMcAi+ePY/j7WQp7U9/Hqc0MwspQ7G
8B7qQAt/qQMtRFqBZyMXjYIWnZqrXYY0J6N9nktCMZ5EymDuXYbk7JIGRjCFygwJ1YmbUcdZAteR
3YABq6P622u6VPoXXB7EE+2Sn678v1oAXXQRvvcY4hQHhqvtSqgC0s9C4EBNzyE5MtHIHV0sXjVv
s+tPI9ADvlxjHHZa/teEDK92Nv9j9tT99vXSy+JWFoz/JGxKyPAmSfLTcHo74eo3yU6jxtP2l8y7
mby9GV0NTrxWOuw3hoP883cRs63O6u8tjDqCKV3Mp+MZldO/5nG2+BhPc6CPylWR355P0vGsOzns
R7sJHcXFm7uLq/j5E9EfpWNMslmW9mZVFzfN2Yi4GaJdjKkY8C4SQ8G88j60/QZN9yjRolLHLR5E
ZzgZD/TXLb6mjR/J5epFFd5sm/3uiSk27v6NMfIenpOZZP+AGqDq5Ivk4ofMfYVCZe747Rs+efOy
nK0y6agtg6CRi7N/yRNe9O/PfevCyxCB7cI3mTyNhmkl21aPwQP6NJLWgUKRZfHyUTq0RjwAgTAA
T9uSDV5DrjXJMITB1WOwIQodt4GtCbaE+hbtXi9R8Aitg+TmWsuD51AUD8IuSfabFIFPkYmHRLj/
lSLYuhnIbgpsxSDwHAKNDZkQsWn2USTrX8FEpQa2eAhB10sMSMFaa+S691nQdEAPCcJWOUuWuqoW
A0emcBD71CqhdntBqgQAlCxVgu87dCRoklKzWRY8h0ZTYEJ51DbLp36yQMbE6pV3b1lwnQbx8xAc
ODVL6s0qstAKndAHcRn4IrUhaicL1LW11MpwX+Ravbyw7XM5ajtc0UHCYHaVyUccnSRQAjtWV22g
rJe1jIm9hSB0cH6RJ8Eyq8fgA12eZR/TqEFCRPl1vbRieTgivAzMQhBoTU0+nIT7VxM1L4zckhtN
8lV83EnFg6FXN0b4EsvAigke0uC5oY99ufGMbDqAcLUxJOp6Y6SeVWb62DHBdUJynEHGgZKpE0IS
oZECYC3kU79rkkxaspy9HziAV3kAEWnNZ1qLUcvx6RxBAil4ufKpndFAFqpveyp4bQfUaFd6e9RS
rzCBfSDhdjEs1VO/o7HIQA6slSJaDxPSo1Zdz9TYEW0MCmBZWlyVll/XTCkSJYnA8bLfFCAd05p6
xY0gTWic4H6bBibFU7vdwIHVVNJ5+NHoeQ7eS8+lVtdYfnQBRqnrUxJb8LdGngN9O7Je96aDFSBL
lLW2M6/Iba7IYEyQM6q0hLbQa8QH/BqyzYjVeYgju4W/mdY0LHP1PGw4HIV0gCdvvKbCj3/P+jyM
HCq+cT/4Gy/ILfZAhIbBe6pkQIlcjUSAFGjPVgNwKcASBLZEor1XRKAVOTS6lxnWSgJk4VjNDgC2
b0Cmsu0m8CKHTd6k5n9FB7Yd4AukT02fAHxdOw4U3kM1sMNPAdQA5g/5+sABFM8aIzgIADwtnaz1
EwV1F7BWCAEwPeBm41A29gKXIdmqDv+h1gS1YwB2fmgrBX5TeVEpKt10M6bsAg8rIZfSit7jQvQA
nbmMzR0nBCaLqFwaTzcF77b9oHQRrH+vQ1Jv+s+fyLiT8UMZpFPvvg/avTC81UXoqPJlGUoq3qP/
XE9w/dXGu8pZlR++TuNMZD1g/Yp4oR7mmRgR2gOfKgHn8TwT/XiaGKEzUALL/28MMS6vBDvpT6di
VJKRnFFRqft5rkUuH0T2ZZqIrEpWRTltyb4W2UKMRZWwdhFaU05HopeI4UZOq9iE7SveitEoP/pB
jK5+OnonpgkAAsZEGtQdlR8cvqDvRDYmrH1pMomwB1rRdgbvkNPhCuHCG2NL+L2gR5Xo38bxVTnK
YpfKGq3yg8NZ0hH9ZLF5Dyl3iu3wP/RThl8OtNhFyntvS/g87+e9JM6yhUFcVvyXHxzOlvN8fCG+
lXSKUStbwnbUH8WFIP9TGJF+Hduypf1bCqSyobACZQLYEu6KUTo8OhP9vMoRbVzbEv80mwHRu0GJ
6wPblv7neDo7ehmPB2JojF4ZBrbUOwJljsKaZYaMazecLfVX+QXUjZSYZQjQmvbEGPEy28CWLqfy
EjPyLO1NvrG6b6ZDctCmVf7jSAds+RGU+s9ZPt5+PHHr9Qh6l28+XCN00rtJZl4HIK3da7Y862aU
YJgSpIk/wsm0Fxr29qysB91tzsDblktd8rs4qZQ3FteALZs6Yiz5VBKqEH8ENnXiAXccsTB2hfak
PcJl8mQHCI4l07ditKrRSyQOW87/Yw6p5RSOk0TMZul0LUv1PvnHdgrFOUMJ/ap06jc8gop4y1Gw
lf4jiFA3ZmsNVu/49y4eWw49FGLAcq0366ND0IZ3DmSTvbnMcVy3Qsu8zU1/ZprY8he9YSyyF38D
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C$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6</xdr:row>
      <xdr:rowOff>76200</xdr:rowOff>
    </xdr:from>
    <xdr:to>
      <xdr:col>9</xdr:col>
      <xdr:colOff>403860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6A6C6-D294-E910-FB9C-351DE1D6A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426720</xdr:colOff>
      <xdr:row>6</xdr:row>
      <xdr:rowOff>35560</xdr:rowOff>
    </xdr:from>
    <xdr:to>
      <xdr:col>18</xdr:col>
      <xdr:colOff>121920</xdr:colOff>
      <xdr:row>21</xdr:row>
      <xdr:rowOff>35560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2584E4-AF2F-F6A6-C2EE-DE7D8C5EA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10160</xdr:colOff>
      <xdr:row>25</xdr:row>
      <xdr:rowOff>5080</xdr:rowOff>
    </xdr:from>
    <xdr:to>
      <xdr:col>12</xdr:col>
      <xdr:colOff>314960</xdr:colOff>
      <xdr:row>40</xdr:row>
      <xdr:rowOff>5080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D21935-8E3C-7615-5876-F445570A9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254000</xdr:colOff>
      <xdr:row>25</xdr:row>
      <xdr:rowOff>5080</xdr:rowOff>
    </xdr:from>
    <xdr:to>
      <xdr:col>20</xdr:col>
      <xdr:colOff>558800</xdr:colOff>
      <xdr:row>40</xdr:row>
      <xdr:rowOff>5080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A39EC-B733-03B6-3CEE-9AE15A4A0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13915</xdr:colOff>
      <xdr:row>24</xdr:row>
      <xdr:rowOff>151075</xdr:rowOff>
    </xdr:from>
    <xdr:to>
      <xdr:col>29</xdr:col>
      <xdr:colOff>318716</xdr:colOff>
      <xdr:row>39</xdr:row>
      <xdr:rowOff>151075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5577D3-FCE0-81AF-8BF7-3D31E3FF9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82827</xdr:colOff>
      <xdr:row>43</xdr:row>
      <xdr:rowOff>127552</xdr:rowOff>
    </xdr:from>
    <xdr:to>
      <xdr:col>12</xdr:col>
      <xdr:colOff>364435</xdr:colOff>
      <xdr:row>58</xdr:row>
      <xdr:rowOff>137491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2EE08F-9737-AD6A-55A6-6EB282569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496956</xdr:colOff>
      <xdr:row>43</xdr:row>
      <xdr:rowOff>160683</xdr:rowOff>
    </xdr:from>
    <xdr:to>
      <xdr:col>21</xdr:col>
      <xdr:colOff>165652</xdr:colOff>
      <xdr:row>58</xdr:row>
      <xdr:rowOff>170622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B449CB-D157-984D-FE9E-A1BC3CEE8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66262</xdr:colOff>
      <xdr:row>43</xdr:row>
      <xdr:rowOff>160683</xdr:rowOff>
    </xdr:from>
    <xdr:to>
      <xdr:col>29</xdr:col>
      <xdr:colOff>347871</xdr:colOff>
      <xdr:row>58</xdr:row>
      <xdr:rowOff>170622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8D7FAE-F0DC-A8E0-12E7-7DDF3E812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0.38278</cdr:x>
      <cdr:y>0.05</cdr:y>
    </cdr:from>
    <cdr:to>
      <cdr:x>0.76278</cdr:x>
      <cdr:y>0.17593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90A9B3-0BCD-2A2B-97BC-3A623E641E33}"/>
            </a:ext>
          </a:extLst>
        </cdr:cNvPr>
        <cdr:cNvSpPr txBox="1"/>
      </cdr:nvSpPr>
      <cdr:spPr>
        <a:xfrm xmlns:a="http://schemas.openxmlformats.org/drawingml/2006/main">
          <a:off x="1750060" y="137160"/>
          <a:ext cx="1737360" cy="345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/>
            <a:t>BAR CHART</a:t>
          </a:r>
        </a:p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83820</xdr:rowOff>
    </xdr:from>
    <xdr:to>
      <xdr:col>10</xdr:col>
      <xdr:colOff>38100</xdr:colOff>
      <xdr:row>17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08C70A-5466-F6DA-8CB6-75F6B81A53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3080" y="4495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377431</xdr:colOff>
      <xdr:row>19</xdr:row>
      <xdr:rowOff>139667</xdr:rowOff>
    </xdr:from>
    <xdr:to>
      <xdr:col>11</xdr:col>
      <xdr:colOff>72631</xdr:colOff>
      <xdr:row>34</xdr:row>
      <xdr:rowOff>139668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E1C7832-D465-7B1B-EEFA-9D3DE82FD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7211" y="3614387"/>
              <a:ext cx="457200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414760</xdr:colOff>
      <xdr:row>3</xdr:row>
      <xdr:rowOff>7717</xdr:rowOff>
    </xdr:from>
    <xdr:to>
      <xdr:col>21</xdr:col>
      <xdr:colOff>405114</xdr:colOff>
      <xdr:row>17</xdr:row>
      <xdr:rowOff>86810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A168509-362C-64F1-ED52-138C7CAA2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0140" y="556357"/>
              <a:ext cx="4257554" cy="2639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152400</xdr:rowOff>
    </xdr:from>
    <xdr:to>
      <xdr:col>10</xdr:col>
      <xdr:colOff>525780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B9B1C-01E0-3905-5ADB-04DC0DE23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1</xdr:row>
      <xdr:rowOff>0</xdr:rowOff>
    </xdr:from>
    <xdr:to>
      <xdr:col>18</xdr:col>
      <xdr:colOff>0</xdr:colOff>
      <xdr:row>14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CB730-22C0-E2F1-EF3F-C43F1A324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601980</xdr:colOff>
      <xdr:row>17</xdr:row>
      <xdr:rowOff>7620</xdr:rowOff>
    </xdr:from>
    <xdr:to>
      <xdr:col>11</xdr:col>
      <xdr:colOff>167640</xdr:colOff>
      <xdr:row>32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D08BD-F165-7D87-5984-2D265784E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</xdr:colOff>
      <xdr:row>17</xdr:row>
      <xdr:rowOff>0</xdr:rowOff>
    </xdr:from>
    <xdr:to>
      <xdr:col>19</xdr:col>
      <xdr:colOff>312420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65AF33-6B34-C925-92DF-207473408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0</xdr:row>
      <xdr:rowOff>129540</xdr:rowOff>
    </xdr:from>
    <xdr:to>
      <xdr:col>8</xdr:col>
      <xdr:colOff>236220</xdr:colOff>
      <xdr:row>13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250FC-A84A-6D88-6F28-30BC6F746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0</xdr:row>
      <xdr:rowOff>114300</xdr:rowOff>
    </xdr:from>
    <xdr:to>
      <xdr:col>14</xdr:col>
      <xdr:colOff>251460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98CEEF-6C47-A8C9-AB75-34F88426E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0</xdr:rowOff>
    </xdr:from>
    <xdr:to>
      <xdr:col>9</xdr:col>
      <xdr:colOff>358140</xdr:colOff>
      <xdr:row>13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19EE4E6-AF9B-BA26-4406-8B2E914E8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1180" y="182880"/>
              <a:ext cx="4023360" cy="2202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0</xdr:row>
      <xdr:rowOff>114300</xdr:rowOff>
    </xdr:from>
    <xdr:to>
      <xdr:col>9</xdr:col>
      <xdr:colOff>175260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5101C-2775-7158-BD9D-D76B50CB1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464820</xdr:colOff>
      <xdr:row>0</xdr:row>
      <xdr:rowOff>106680</xdr:rowOff>
    </xdr:from>
    <xdr:to>
      <xdr:col>16</xdr:col>
      <xdr:colOff>53340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39417-2858-B5B8-CE35-B574AC128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190500</xdr:colOff>
      <xdr:row>0</xdr:row>
      <xdr:rowOff>144780</xdr:rowOff>
    </xdr:from>
    <xdr:to>
      <xdr:col>23</xdr:col>
      <xdr:colOff>495300</xdr:colOff>
      <xdr:row>15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F2B211-ACA2-2B29-E2A0-2011AE30E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317436</xdr:colOff>
      <xdr:row>32</xdr:row>
      <xdr:rowOff>0</xdr:rowOff>
    </xdr:from>
    <xdr:to>
      <xdr:col>10</xdr:col>
      <xdr:colOff>1584960</xdr:colOff>
      <xdr:row>63</xdr:row>
      <xdr:rowOff>71120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AABB65-8DC1-87C3-8CF7-EEBED0ECC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9756" y="5852160"/>
              <a:ext cx="10510584" cy="574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845820</xdr:colOff>
          <xdr:row>3</xdr:row>
          <xdr:rowOff>91440</xdr:rowOff>
        </xdr:from>
        <xdr:to>
          <xdr:col>4</xdr:col>
          <xdr:colOff>678180</xdr:colOff>
          <xdr:row>5</xdr:row>
          <xdr:rowOff>91440</xdr:rowOff>
        </xdr:to>
        <xdr:sp macro="" textlink="">
          <xdr:nvSpPr>
            <xdr:cNvPr id="14342" name="Option 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D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10 Students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</xdr:row>
          <xdr:rowOff>137160</xdr:rowOff>
        </xdr:from>
        <xdr:to>
          <xdr:col>4</xdr:col>
          <xdr:colOff>403860</xdr:colOff>
          <xdr:row>7</xdr:row>
          <xdr:rowOff>22860</xdr:rowOff>
        </xdr:to>
        <xdr:sp macro="" textlink="">
          <xdr:nvSpPr>
            <xdr:cNvPr id="14343" name="Option Button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D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10 Students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0</xdr:colOff>
      <xdr:row>2</xdr:row>
      <xdr:rowOff>7620</xdr:rowOff>
    </xdr:from>
    <xdr:to>
      <xdr:col>14</xdr:col>
      <xdr:colOff>38100</xdr:colOff>
      <xdr:row>15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7214D-9D26-4460-048B-5A81640A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</xdr:row>
      <xdr:rowOff>152400</xdr:rowOff>
    </xdr:from>
    <xdr:to>
      <xdr:col>12</xdr:col>
      <xdr:colOff>381000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40B7B-2214-DCF2-949B-304CC3AE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198120</xdr:colOff>
      <xdr:row>1</xdr:row>
      <xdr:rowOff>144780</xdr:rowOff>
    </xdr:from>
    <xdr:to>
      <xdr:col>19</xdr:col>
      <xdr:colOff>594360</xdr:colOff>
      <xdr:row>15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3FFFE8-0C5E-9C5B-2DB0-5F1876454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251460</xdr:colOff>
      <xdr:row>16</xdr:row>
      <xdr:rowOff>91440</xdr:rowOff>
    </xdr:from>
    <xdr:to>
      <xdr:col>12</xdr:col>
      <xdr:colOff>259080</xdr:colOff>
      <xdr:row>31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6577F-4D6C-2415-963E-346262706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603160</xdr:colOff>
      <xdr:row>0</xdr:row>
      <xdr:rowOff>175130</xdr:rowOff>
    </xdr:from>
    <xdr:to>
      <xdr:col>11</xdr:col>
      <xdr:colOff>318492</xdr:colOff>
      <xdr:row>15</xdr:row>
      <xdr:rowOff>150126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359F30-AEA9-4933-4D49-018AC0192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FDF3A-50C1-40AC-9501-9A854808F74A}" autoFormatId="16" applyNumberFormats="0" applyBorderFormats="0" applyFontFormats="0" applyPatternFormats="0" applyAlignmentFormats="0" applyWidthHeightFormats="0">
  <queryTableRefresh nextId="12">
    <queryTableFields count="11">
      <queryTableField id="1" name="State" tableColumnId="1"/>
      <queryTableField id="2" name="ISO" tableColumnId="2"/>
      <queryTableField id="3" name="Vehiclecode" tableColumnId="3"/>
      <queryTableField id="4" name="Zone" tableColumnId="4"/>
      <queryTableField id="5" name="Capital" tableColumnId="5"/>
      <queryTableField id="6" name="Largest city" tableColumnId="6"/>
      <queryTableField id="7" name="Statehood" tableColumnId="7"/>
      <queryTableField id="8" name="Population(2011)[27][28]" tableColumnId="8"/>
      <queryTableField id="9" name="Area(km2)" tableColumnId="9"/>
      <queryTableField id="10" name="Officiallanguages[29]" tableColumnId="10"/>
      <queryTableField id="11" name="Additional officiallanguages[29]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2F4CA-059F-407E-811D-35D957B23A83}" name="Table_5" displayName="Table_5" ref="A1:K30" tableType="queryTable" totalsRowShown="0">
  <autoFilter ref="A1:K30" xr:uid="{6122F4CA-059F-407E-811D-35D957B23A83}"/>
  <tableColumns count="11">
    <tableColumn id="1" xr3:uid="{DCBDD00F-4D80-4F2F-ABC7-DB32837266EF}" uniqueName="1" name="State" queryTableFieldId="1" dataDxfId="10"/>
    <tableColumn id="2" xr3:uid="{55CEA445-656F-4810-8C25-0CA8E8A6A107}" uniqueName="2" name="ISO" queryTableFieldId="2" dataDxfId="9"/>
    <tableColumn id="3" xr3:uid="{31BBA54C-6977-44B2-9D62-13D549802076}" uniqueName="3" name="Vehiclecode" queryTableFieldId="3" dataDxfId="8"/>
    <tableColumn id="4" xr3:uid="{D5A24FE4-486A-4B54-9A59-7357FB046E84}" uniqueName="4" name="Zone" queryTableFieldId="4" dataDxfId="7"/>
    <tableColumn id="5" xr3:uid="{EA008E2F-CB28-44EF-8A54-830C187D0423}" uniqueName="5" name="Capital" queryTableFieldId="5" dataDxfId="6"/>
    <tableColumn id="6" xr3:uid="{6DE26BFC-6B19-437F-BE4C-E4F3881F18DB}" uniqueName="6" name="Largest city" queryTableFieldId="6" dataDxfId="5"/>
    <tableColumn id="7" xr3:uid="{F958B78B-5501-4375-AE81-7CFCBB04B104}" uniqueName="7" name="Statehood" queryTableFieldId="7" dataDxfId="4"/>
    <tableColumn id="8" xr3:uid="{BFA4093A-945E-4B8E-AB29-40E161EE9E20}" uniqueName="8" name="Population(2011)[27][28]" queryTableFieldId="8" dataDxfId="3"/>
    <tableColumn id="9" xr3:uid="{1C52E5BE-8673-4C0F-ADD8-421E03C7296A}" uniqueName="9" name="Area(km2)" queryTableFieldId="9" dataDxfId="2"/>
    <tableColumn id="10" xr3:uid="{D65BDA58-241F-4194-B071-2858B8579942}" uniqueName="10" name="Officiallanguages[29]" queryTableFieldId="10" dataDxfId="1"/>
    <tableColumn id="11" xr3:uid="{E3F7CC68-F7E5-422B-AE5A-C5E084F20FA4}" uniqueName="11" name="Additional officiallanguages[29]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BD48-5456-478D-B0E4-CBFED5F74291}">
  <dimension ref="A1:H27"/>
  <sheetViews>
    <sheetView workbookViewId="0">
      <selection activeCell="A28" sqref="A28"/>
    </sheetView>
  </sheetViews>
  <sheetFormatPr defaultRowHeight="14.4" x14ac:dyDescent="0.3"/>
  <cols>
    <col min="1" max="1" width="15.33203125" bestFit="1" customWidth="1"/>
    <col min="2" max="3" width="10.33203125" bestFit="1" customWidth="1"/>
    <col min="5" max="7" width="10.33203125" bestFit="1" customWidth="1"/>
  </cols>
  <sheetData>
    <row r="1" spans="1:8" x14ac:dyDescent="0.3">
      <c r="A1" s="1">
        <f ca="1">TODAY()</f>
        <v>46072</v>
      </c>
    </row>
    <row r="2" spans="1:8" x14ac:dyDescent="0.3">
      <c r="A2" s="2">
        <f ca="1">NOW()</f>
        <v>46072.349488310188</v>
      </c>
    </row>
    <row r="3" spans="1:8" x14ac:dyDescent="0.3">
      <c r="A3">
        <f ca="1">YEAR(NOW())</f>
        <v>2026</v>
      </c>
      <c r="E3" s="1">
        <v>46074</v>
      </c>
      <c r="F3" s="1">
        <v>46078</v>
      </c>
      <c r="G3" s="1">
        <v>46164</v>
      </c>
      <c r="H3" t="s">
        <v>0</v>
      </c>
    </row>
    <row r="4" spans="1:8" x14ac:dyDescent="0.3">
      <c r="A4">
        <f ca="1">MONTH(NOW())</f>
        <v>2</v>
      </c>
      <c r="E4" s="1">
        <f>WORKDAY.INTL(A22,340,3,E3:G3)</f>
        <v>46502</v>
      </c>
      <c r="F4" t="s">
        <v>1</v>
      </c>
    </row>
    <row r="5" spans="1:8" x14ac:dyDescent="0.3">
      <c r="A5">
        <f ca="1">DAY(NOW())</f>
        <v>19</v>
      </c>
    </row>
    <row r="6" spans="1:8" x14ac:dyDescent="0.3">
      <c r="A6">
        <f ca="1">HOUR(NOW())</f>
        <v>8</v>
      </c>
    </row>
    <row r="7" spans="1:8" x14ac:dyDescent="0.3">
      <c r="A7">
        <f ca="1">MINUTE(NOW())</f>
        <v>23</v>
      </c>
    </row>
    <row r="8" spans="1:8" x14ac:dyDescent="0.3">
      <c r="A8">
        <f ca="1">SECOND(NOW())</f>
        <v>16</v>
      </c>
    </row>
    <row r="9" spans="1:8" x14ac:dyDescent="0.3">
      <c r="A9">
        <f ca="1">SECOND(NOW())</f>
        <v>16</v>
      </c>
    </row>
    <row r="10" spans="1:8" x14ac:dyDescent="0.3">
      <c r="A10">
        <f ca="1">WEEKDAY(NOW())</f>
        <v>5</v>
      </c>
    </row>
    <row r="11" spans="1:8" x14ac:dyDescent="0.3">
      <c r="A11" s="1">
        <f>DATE(2026,12,5)</f>
        <v>46361</v>
      </c>
    </row>
    <row r="12" spans="1:8" x14ac:dyDescent="0.3">
      <c r="A12" s="3">
        <f>TIME(11,14,16)</f>
        <v>0.46824074074074074</v>
      </c>
    </row>
    <row r="13" spans="1:8" x14ac:dyDescent="0.3">
      <c r="A13" s="1">
        <f ca="1">EDATE(NOW(),2)</f>
        <v>46131</v>
      </c>
    </row>
    <row r="14" spans="1:8" x14ac:dyDescent="0.3">
      <c r="A14" s="1">
        <f ca="1">EDATE(NOW(),-2)</f>
        <v>46010</v>
      </c>
    </row>
    <row r="15" spans="1:8" x14ac:dyDescent="0.3">
      <c r="A15" s="1">
        <f ca="1">EOMONTH(NOW(),2)</f>
        <v>46142</v>
      </c>
    </row>
    <row r="16" spans="1:8" x14ac:dyDescent="0.3">
      <c r="A16" s="1">
        <f ca="1">EOMONTH(NOW(),-2)</f>
        <v>46022</v>
      </c>
    </row>
    <row r="17" spans="1:4" x14ac:dyDescent="0.3">
      <c r="A17">
        <f ca="1">WEEKNUM(NOW())</f>
        <v>8</v>
      </c>
    </row>
    <row r="18" spans="1:4" x14ac:dyDescent="0.3">
      <c r="A18" s="1">
        <f>DATE(2025,1,1)</f>
        <v>45658</v>
      </c>
    </row>
    <row r="19" spans="1:4" x14ac:dyDescent="0.3">
      <c r="A19" s="1">
        <f>DATE(2026,4,10)</f>
        <v>46122</v>
      </c>
    </row>
    <row r="20" spans="1:4" x14ac:dyDescent="0.3">
      <c r="A20">
        <f>YEARFRAC(A18,A19)</f>
        <v>1.2749999999999999</v>
      </c>
    </row>
    <row r="21" spans="1:4" x14ac:dyDescent="0.3">
      <c r="A21">
        <f>1.275*12</f>
        <v>15.299999999999999</v>
      </c>
    </row>
    <row r="22" spans="1:4" x14ac:dyDescent="0.3">
      <c r="A22" s="1">
        <v>46023</v>
      </c>
    </row>
    <row r="23" spans="1:4" x14ac:dyDescent="0.3">
      <c r="A23" s="1">
        <v>46053</v>
      </c>
      <c r="B23">
        <f>NETWORKDAYS.INTL(A22,A23,7,B24:C24)</f>
        <v>19</v>
      </c>
      <c r="C23" t="s">
        <v>1</v>
      </c>
    </row>
    <row r="24" spans="1:4" x14ac:dyDescent="0.3">
      <c r="A24">
        <f>NETWORKDAYS(A22,A23)</f>
        <v>22</v>
      </c>
      <c r="B24" s="1">
        <v>46037</v>
      </c>
      <c r="C24" s="1">
        <v>46048</v>
      </c>
      <c r="D24" t="s">
        <v>0</v>
      </c>
    </row>
    <row r="25" spans="1:4" x14ac:dyDescent="0.3">
      <c r="A25">
        <f>NETWORKDAYS.INTL(A22,A23,7,B24:C24)</f>
        <v>19</v>
      </c>
      <c r="B25" t="s">
        <v>1</v>
      </c>
    </row>
    <row r="26" spans="1:4" x14ac:dyDescent="0.3">
      <c r="A26" s="1">
        <f>WORKDAY(A22,250)</f>
        <v>46373</v>
      </c>
      <c r="B26" t="s">
        <v>1</v>
      </c>
    </row>
    <row r="27" spans="1:4" x14ac:dyDescent="0.3">
      <c r="A27" s="1">
        <f>WORKDAY.INTL(A22,250,7,B24:C24)</f>
        <v>46377</v>
      </c>
      <c r="B27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6326-37EF-42C3-ABAE-D2254990F359}">
  <dimension ref="A1:Z14"/>
  <sheetViews>
    <sheetView topLeftCell="Q1" zoomScale="115" zoomScaleNormal="115" workbookViewId="0">
      <selection activeCell="AA1" sqref="AA1"/>
    </sheetView>
  </sheetViews>
  <sheetFormatPr defaultRowHeight="14.4" x14ac:dyDescent="0.3"/>
  <cols>
    <col min="1" max="1" width="12.6640625" customWidth="1"/>
    <col min="2" max="2" width="12.33203125" customWidth="1"/>
    <col min="3" max="3" width="11.5546875" customWidth="1"/>
    <col min="4" max="4" width="10.44140625" customWidth="1"/>
    <col min="5" max="5" width="10" customWidth="1"/>
    <col min="6" max="6" width="9.88671875" customWidth="1"/>
    <col min="7" max="7" width="9.6640625" customWidth="1"/>
    <col min="8" max="8" width="13.77734375" customWidth="1"/>
    <col min="9" max="9" width="11.77734375" customWidth="1"/>
    <col min="18" max="18" width="31.88671875" customWidth="1"/>
    <col min="20" max="20" width="15.109375" customWidth="1"/>
    <col min="23" max="23" width="14.77734375" customWidth="1"/>
    <col min="24" max="24" width="14" customWidth="1"/>
    <col min="25" max="25" width="13.88671875" customWidth="1"/>
    <col min="26" max="26" width="14.21875" customWidth="1"/>
  </cols>
  <sheetData>
    <row r="1" spans="1:26" x14ac:dyDescent="0.3">
      <c r="A1" t="s">
        <v>3</v>
      </c>
      <c r="B1" t="str">
        <f>UPPER(A1)</f>
        <v>MUTHU</v>
      </c>
      <c r="C1" t="str">
        <f>LOWER(A1)</f>
        <v>muthu</v>
      </c>
      <c r="D1" t="str">
        <f>LEFT(A1,3)</f>
        <v>Mut</v>
      </c>
      <c r="E1" t="str">
        <f>RIGHT(A1,4)</f>
        <v>uthu</v>
      </c>
      <c r="F1" t="str">
        <f>MID(A1,2,3)</f>
        <v>uth</v>
      </c>
      <c r="G1">
        <f>LEN(A1)</f>
        <v>5</v>
      </c>
      <c r="I1" t="s">
        <v>12</v>
      </c>
      <c r="J1" t="str" cm="1">
        <f t="array" ref="J1:N1">_xlfn.TEXTSPLIT(I1,"-")</f>
        <v>A</v>
      </c>
      <c r="K1" t="str">
        <v>B</v>
      </c>
      <c r="L1" t="str">
        <v>C</v>
      </c>
      <c r="M1" t="str">
        <v>D</v>
      </c>
      <c r="N1" t="str">
        <v>E</v>
      </c>
      <c r="Q1">
        <f>FIND("u",A1,1)</f>
        <v>2</v>
      </c>
      <c r="R1">
        <f>IFERROR(FIND("M",A1,1),"not available")</f>
        <v>1</v>
      </c>
      <c r="S1">
        <f>SEARCH("M",A1,1)</f>
        <v>1</v>
      </c>
      <c r="T1" t="s">
        <v>16</v>
      </c>
      <c r="U1">
        <f>FIND("a",T1, FIND("a",T1,1)+1)</f>
        <v>8</v>
      </c>
      <c r="V1">
        <f>SEARCH("a",T1, SEARCH("a",T1,1)+1)</f>
        <v>2</v>
      </c>
      <c r="W1" t="str">
        <f>REPLACE(T1,1,4,"Besant")</f>
        <v>Besant123a</v>
      </c>
      <c r="X1" t="s">
        <v>20</v>
      </c>
      <c r="Y1" t="str">
        <f>SUBSTITUTE(X1,"2016","2024")</f>
        <v>Excel 2024 2024</v>
      </c>
      <c r="Z1" t="str">
        <f>SUBSTITUTE(X1,"2016","2025",1)</f>
        <v>Excel 2025 2016</v>
      </c>
    </row>
    <row r="2" spans="1:26" x14ac:dyDescent="0.3">
      <c r="A2" t="s">
        <v>4</v>
      </c>
      <c r="B2" t="str">
        <f t="shared" ref="B2:B13" si="0">UPPER(A2)</f>
        <v>RAJI</v>
      </c>
      <c r="C2" t="str">
        <f t="shared" ref="C2:C14" si="1">LOWER(A2)</f>
        <v>raji</v>
      </c>
      <c r="D2" t="str">
        <f t="shared" ref="D2:D14" si="2">LEFT(A2,3)</f>
        <v>Raj</v>
      </c>
      <c r="E2" t="str">
        <f t="shared" ref="E2:E14" si="3">RIGHT(A2,4)</f>
        <v>Raji</v>
      </c>
      <c r="F2" t="str">
        <f t="shared" ref="F2:F11" si="4">MID(A2,2,3)</f>
        <v>aji</v>
      </c>
      <c r="G2">
        <f t="shared" ref="G2:G10" si="5">LEN(A2)</f>
        <v>4</v>
      </c>
      <c r="I2" t="s">
        <v>13</v>
      </c>
      <c r="J2" t="str" cm="1">
        <f t="array" ref="J2:L2">_xlfn.TEXTSPLIT(I2,"-")</f>
        <v>A</v>
      </c>
      <c r="K2" t="str">
        <v>B</v>
      </c>
      <c r="L2" t="str">
        <v>C</v>
      </c>
      <c r="Q2">
        <f>FIND("a",A2,1)</f>
        <v>2</v>
      </c>
      <c r="R2" t="str">
        <f t="shared" ref="R2:R10" si="6">IFERROR(FIND("M",A2,1),"not available")</f>
        <v>not available</v>
      </c>
      <c r="S2" t="e">
        <f t="shared" ref="S2:S10" si="7">SEARCH("M",A2,1)</f>
        <v>#VALUE!</v>
      </c>
      <c r="T2" t="s">
        <v>17</v>
      </c>
      <c r="U2" t="e">
        <f>FIND("a",T2, FIND("a",T2,1)+1)</f>
        <v>#VALUE!</v>
      </c>
      <c r="V2" t="e">
        <f t="shared" ref="V2:V4" si="8">SEARCH("a",T2, SEARCH("a",T2,1)+1)</f>
        <v>#VALUE!</v>
      </c>
      <c r="W2" t="str">
        <f>REPLACE(T2,1,6,"Institution")</f>
        <v>Institution123xy</v>
      </c>
      <c r="X2" t="s">
        <v>22</v>
      </c>
      <c r="Y2" t="str">
        <f t="shared" ref="Y2:Y4" si="9">SUBSTITUTE(X2,"2016","2024")</f>
        <v>Excel 2024 Hello</v>
      </c>
      <c r="Z2" t="str">
        <f t="shared" ref="Z2:Z4" si="10">SUBSTITUTE(X2,"2016","2025",1)</f>
        <v>Excel 2025 Hello</v>
      </c>
    </row>
    <row r="3" spans="1:26" x14ac:dyDescent="0.3">
      <c r="A3" t="s">
        <v>5</v>
      </c>
      <c r="B3" t="str">
        <f t="shared" si="0"/>
        <v>LINGA</v>
      </c>
      <c r="C3" t="str">
        <f t="shared" si="1"/>
        <v>linga</v>
      </c>
      <c r="D3" t="str">
        <f t="shared" si="2"/>
        <v>Lin</v>
      </c>
      <c r="E3" t="str">
        <f t="shared" si="3"/>
        <v>inga</v>
      </c>
      <c r="F3" t="str">
        <f t="shared" si="4"/>
        <v>ing</v>
      </c>
      <c r="G3">
        <f t="shared" si="5"/>
        <v>5</v>
      </c>
      <c r="I3" t="s">
        <v>14</v>
      </c>
      <c r="J3" t="str" cm="1">
        <f t="array" ref="J3:P3">_xlfn.TEXTSPLIT(I3,"-")</f>
        <v>A</v>
      </c>
      <c r="K3" t="str">
        <v>B</v>
      </c>
      <c r="L3" t="str">
        <v>C</v>
      </c>
      <c r="M3" t="str">
        <v>F</v>
      </c>
      <c r="N3" t="str">
        <v>G</v>
      </c>
      <c r="O3" t="str">
        <v>H</v>
      </c>
      <c r="P3" t="str">
        <v>I</v>
      </c>
      <c r="Q3">
        <f>FIND("n",A3,1)</f>
        <v>3</v>
      </c>
      <c r="R3" t="str">
        <f t="shared" si="6"/>
        <v>not available</v>
      </c>
      <c r="S3" t="e">
        <f t="shared" si="7"/>
        <v>#VALUE!</v>
      </c>
      <c r="T3" t="s">
        <v>18</v>
      </c>
      <c r="U3" t="e">
        <f t="shared" ref="U3:U4" si="11">FIND("a",T3, FIND("a",T3,1)+1)</f>
        <v>#VALUE!</v>
      </c>
      <c r="V3">
        <f t="shared" si="8"/>
        <v>7</v>
      </c>
      <c r="W3" t="str">
        <f>REPLACE(T3,2,7,"binaya")</f>
        <v>Abinaya123997</v>
      </c>
      <c r="X3" t="s">
        <v>21</v>
      </c>
      <c r="Y3" t="str">
        <f t="shared" si="9"/>
        <v>Excel 2024</v>
      </c>
      <c r="Z3" t="str">
        <f t="shared" si="10"/>
        <v>Excel 2025</v>
      </c>
    </row>
    <row r="4" spans="1:26" x14ac:dyDescent="0.3">
      <c r="A4" t="s">
        <v>6</v>
      </c>
      <c r="B4" t="str">
        <f t="shared" si="0"/>
        <v>RIYA</v>
      </c>
      <c r="C4" t="str">
        <f t="shared" si="1"/>
        <v>riya</v>
      </c>
      <c r="D4" t="str">
        <f t="shared" si="2"/>
        <v>Riy</v>
      </c>
      <c r="E4" t="str">
        <f t="shared" si="3"/>
        <v>Riya</v>
      </c>
      <c r="F4" t="str">
        <f t="shared" si="4"/>
        <v>iya</v>
      </c>
      <c r="G4">
        <f t="shared" si="5"/>
        <v>4</v>
      </c>
      <c r="I4" t="s">
        <v>15</v>
      </c>
      <c r="J4" t="str" cm="1">
        <f t="array" ref="J4:O4">_xlfn.TEXTSPLIT(I4,"-")</f>
        <v>Z</v>
      </c>
      <c r="K4" t="str">
        <v>A</v>
      </c>
      <c r="L4" t="str">
        <v>B</v>
      </c>
      <c r="M4" t="str">
        <v>Z</v>
      </c>
      <c r="N4" t="str">
        <v>K</v>
      </c>
      <c r="O4" t="str">
        <v>K</v>
      </c>
      <c r="Q4">
        <f>FIND("a",A4,1)</f>
        <v>4</v>
      </c>
      <c r="R4" t="str">
        <f t="shared" si="6"/>
        <v>not available</v>
      </c>
      <c r="S4" t="e">
        <f t="shared" si="7"/>
        <v>#VALUE!</v>
      </c>
      <c r="T4" t="s">
        <v>19</v>
      </c>
      <c r="U4" t="e">
        <f t="shared" si="11"/>
        <v>#VALUE!</v>
      </c>
      <c r="V4">
        <f t="shared" si="8"/>
        <v>11</v>
      </c>
      <c r="X4" t="s">
        <v>23</v>
      </c>
      <c r="Y4" t="str">
        <f t="shared" si="9"/>
        <v>2024 Excel 2024</v>
      </c>
      <c r="Z4" t="str">
        <f t="shared" si="10"/>
        <v>2025 Excel 2016</v>
      </c>
    </row>
    <row r="5" spans="1:26" x14ac:dyDescent="0.3">
      <c r="A5" t="s">
        <v>2</v>
      </c>
      <c r="B5" t="str">
        <f t="shared" si="0"/>
        <v>SIVA</v>
      </c>
      <c r="C5" t="str">
        <f t="shared" si="1"/>
        <v>siva</v>
      </c>
      <c r="D5" t="str">
        <f t="shared" si="2"/>
        <v>Siv</v>
      </c>
      <c r="E5" t="str">
        <f t="shared" si="3"/>
        <v>Siva</v>
      </c>
      <c r="F5" t="str">
        <f t="shared" si="4"/>
        <v>iva</v>
      </c>
      <c r="G5">
        <f t="shared" si="5"/>
        <v>4</v>
      </c>
      <c r="Q5">
        <f>FIND("v",A5,1)</f>
        <v>3</v>
      </c>
      <c r="R5" t="str">
        <f t="shared" si="6"/>
        <v>not available</v>
      </c>
      <c r="S5" t="e">
        <f t="shared" si="7"/>
        <v>#VALUE!</v>
      </c>
    </row>
    <row r="6" spans="1:26" x14ac:dyDescent="0.3">
      <c r="A6" t="s">
        <v>7</v>
      </c>
      <c r="B6" t="str">
        <f t="shared" si="0"/>
        <v>HARI</v>
      </c>
      <c r="C6" t="str">
        <f t="shared" si="1"/>
        <v>hari</v>
      </c>
      <c r="D6" t="str">
        <f t="shared" si="2"/>
        <v>Har</v>
      </c>
      <c r="E6" t="str">
        <f t="shared" si="3"/>
        <v>Hari</v>
      </c>
      <c r="F6" t="str">
        <f t="shared" si="4"/>
        <v>ari</v>
      </c>
      <c r="G6">
        <f t="shared" si="5"/>
        <v>4</v>
      </c>
      <c r="Q6">
        <f>FIND("H",A6,1)</f>
        <v>1</v>
      </c>
      <c r="R6" t="str">
        <f t="shared" si="6"/>
        <v>not available</v>
      </c>
      <c r="S6" t="e">
        <f t="shared" si="7"/>
        <v>#VALUE!</v>
      </c>
    </row>
    <row r="7" spans="1:26" x14ac:dyDescent="0.3">
      <c r="A7" t="s">
        <v>8</v>
      </c>
      <c r="B7" t="str">
        <f t="shared" si="0"/>
        <v>MARAN</v>
      </c>
      <c r="C7" t="str">
        <f t="shared" si="1"/>
        <v>maran</v>
      </c>
      <c r="D7" t="str">
        <f t="shared" si="2"/>
        <v>Mar</v>
      </c>
      <c r="E7" t="str">
        <f t="shared" si="3"/>
        <v>aran</v>
      </c>
      <c r="F7" t="str">
        <f t="shared" si="4"/>
        <v>ara</v>
      </c>
      <c r="G7">
        <f t="shared" si="5"/>
        <v>5</v>
      </c>
      <c r="Q7" t="e">
        <f t="shared" ref="Q7:Q10" si="12">FIND("u",A7,1)</f>
        <v>#VALUE!</v>
      </c>
      <c r="R7">
        <f t="shared" si="6"/>
        <v>1</v>
      </c>
      <c r="S7">
        <f t="shared" si="7"/>
        <v>1</v>
      </c>
    </row>
    <row r="8" spans="1:26" x14ac:dyDescent="0.3">
      <c r="A8" t="s">
        <v>11</v>
      </c>
      <c r="B8" t="str">
        <f t="shared" si="0"/>
        <v>VENGATESH</v>
      </c>
      <c r="C8" t="str">
        <f t="shared" si="1"/>
        <v>vengatesh</v>
      </c>
      <c r="D8" t="str">
        <f t="shared" si="2"/>
        <v>Ven</v>
      </c>
      <c r="E8" t="str">
        <f t="shared" si="3"/>
        <v>tesh</v>
      </c>
      <c r="F8" t="str">
        <f t="shared" si="4"/>
        <v>eng</v>
      </c>
      <c r="G8">
        <f t="shared" si="5"/>
        <v>9</v>
      </c>
      <c r="Q8" t="e">
        <f t="shared" si="12"/>
        <v>#VALUE!</v>
      </c>
      <c r="R8" t="str">
        <f t="shared" si="6"/>
        <v>not available</v>
      </c>
      <c r="S8" t="e">
        <f t="shared" si="7"/>
        <v>#VALUE!</v>
      </c>
    </row>
    <row r="9" spans="1:26" x14ac:dyDescent="0.3">
      <c r="A9" t="s">
        <v>9</v>
      </c>
      <c r="B9" t="str">
        <f t="shared" si="0"/>
        <v>SUDAR</v>
      </c>
      <c r="C9" t="str">
        <f t="shared" si="1"/>
        <v>sudar</v>
      </c>
      <c r="D9" t="str">
        <f t="shared" si="2"/>
        <v>Sud</v>
      </c>
      <c r="E9" t="str">
        <f t="shared" si="3"/>
        <v>udar</v>
      </c>
      <c r="F9" t="str">
        <f t="shared" si="4"/>
        <v>uda</v>
      </c>
      <c r="G9">
        <f t="shared" si="5"/>
        <v>5</v>
      </c>
      <c r="Q9">
        <f t="shared" si="12"/>
        <v>2</v>
      </c>
      <c r="R9" t="str">
        <f t="shared" si="6"/>
        <v>not available</v>
      </c>
      <c r="S9" t="e">
        <f t="shared" si="7"/>
        <v>#VALUE!</v>
      </c>
    </row>
    <row r="10" spans="1:26" x14ac:dyDescent="0.3">
      <c r="A10" t="s">
        <v>10</v>
      </c>
      <c r="B10" t="str">
        <f t="shared" si="0"/>
        <v>ABI</v>
      </c>
      <c r="C10" t="str">
        <f t="shared" si="1"/>
        <v>abi</v>
      </c>
      <c r="D10" t="str">
        <f t="shared" si="2"/>
        <v>Abi</v>
      </c>
      <c r="E10" t="str">
        <f t="shared" si="3"/>
        <v>Abi</v>
      </c>
      <c r="F10" t="str">
        <f t="shared" si="4"/>
        <v>bi</v>
      </c>
      <c r="G10">
        <f t="shared" si="5"/>
        <v>3</v>
      </c>
      <c r="Q10" t="e">
        <f t="shared" si="12"/>
        <v>#VALUE!</v>
      </c>
      <c r="R10" t="str">
        <f t="shared" si="6"/>
        <v>not available</v>
      </c>
      <c r="S10" t="e">
        <f t="shared" si="7"/>
        <v>#VALUE!</v>
      </c>
    </row>
    <row r="11" spans="1:26" x14ac:dyDescent="0.3">
      <c r="B11" t="str">
        <f t="shared" si="0"/>
        <v/>
      </c>
      <c r="C11" t="str">
        <f t="shared" si="1"/>
        <v/>
      </c>
      <c r="D11" t="str">
        <f t="shared" si="2"/>
        <v/>
      </c>
      <c r="E11" t="str">
        <f t="shared" si="3"/>
        <v/>
      </c>
      <c r="F11" t="str">
        <f t="shared" si="4"/>
        <v/>
      </c>
    </row>
    <row r="12" spans="1:26" x14ac:dyDescent="0.3">
      <c r="C12" t="str">
        <f t="shared" si="1"/>
        <v/>
      </c>
      <c r="E12" t="str">
        <f t="shared" si="3"/>
        <v/>
      </c>
    </row>
    <row r="13" spans="1:26" x14ac:dyDescent="0.3">
      <c r="B13" t="str">
        <f t="shared" si="0"/>
        <v/>
      </c>
      <c r="C13" t="str">
        <f t="shared" si="1"/>
        <v/>
      </c>
      <c r="D13" t="str">
        <f t="shared" si="2"/>
        <v/>
      </c>
      <c r="E13" t="str">
        <f t="shared" si="3"/>
        <v/>
      </c>
    </row>
    <row r="14" spans="1:26" x14ac:dyDescent="0.3">
      <c r="C14" t="str">
        <f t="shared" si="1"/>
        <v/>
      </c>
      <c r="D14" t="str">
        <f t="shared" si="2"/>
        <v/>
      </c>
      <c r="E14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9C0D7-72DF-419D-8D63-CFAC12480F00}">
  <dimension ref="A1:W15"/>
  <sheetViews>
    <sheetView topLeftCell="D1" zoomScale="94" workbookViewId="0">
      <selection activeCell="W3" sqref="W3:W14"/>
    </sheetView>
  </sheetViews>
  <sheetFormatPr defaultRowHeight="14.4" x14ac:dyDescent="0.3"/>
  <cols>
    <col min="1" max="1" width="18.33203125" customWidth="1"/>
    <col min="4" max="4" width="12.88671875" customWidth="1"/>
    <col min="12" max="12" width="13" customWidth="1"/>
  </cols>
  <sheetData>
    <row r="1" spans="1:23" x14ac:dyDescent="0.3">
      <c r="A1" t="s">
        <v>24</v>
      </c>
      <c r="B1" t="s">
        <v>25</v>
      </c>
      <c r="C1" t="s">
        <v>37</v>
      </c>
      <c r="D1" t="s">
        <v>38</v>
      </c>
      <c r="E1" t="s">
        <v>39</v>
      </c>
      <c r="H1" t="s">
        <v>40</v>
      </c>
      <c r="P1" t="s">
        <v>59</v>
      </c>
      <c r="S1" t="s">
        <v>60</v>
      </c>
      <c r="V1" t="s">
        <v>61</v>
      </c>
      <c r="W1" t="s">
        <v>62</v>
      </c>
    </row>
    <row r="2" spans="1:23" x14ac:dyDescent="0.3">
      <c r="A2" t="s">
        <v>26</v>
      </c>
      <c r="B2">
        <v>100</v>
      </c>
      <c r="C2">
        <f>SUMIF(A2:A14,"East",B2:B14)</f>
        <v>70</v>
      </c>
      <c r="D2">
        <f>AVERAGEIF(A2:A14,"East",B2:B14)</f>
        <v>35</v>
      </c>
      <c r="E2">
        <f>COUNTIF(A2:A14,"South")</f>
        <v>2</v>
      </c>
      <c r="H2" t="s">
        <v>41</v>
      </c>
      <c r="I2" t="s">
        <v>42</v>
      </c>
      <c r="J2" t="s">
        <v>43</v>
      </c>
      <c r="K2" t="s">
        <v>50</v>
      </c>
      <c r="L2" t="s">
        <v>51</v>
      </c>
      <c r="M2" t="s">
        <v>52</v>
      </c>
      <c r="P2" t="s">
        <v>53</v>
      </c>
      <c r="S2" t="s">
        <v>53</v>
      </c>
      <c r="T2" t="s">
        <v>54</v>
      </c>
    </row>
    <row r="3" spans="1:23" x14ac:dyDescent="0.3">
      <c r="A3" t="s">
        <v>27</v>
      </c>
      <c r="B3">
        <v>50</v>
      </c>
      <c r="C3">
        <f>SUMIF(A2:A14,"South",B2:B14)</f>
        <v>150</v>
      </c>
      <c r="D3">
        <f>AVERAGEIF(A2:A14,"South*",B2:B14)</f>
        <v>65</v>
      </c>
      <c r="E3">
        <f>COUNTIF(A2:A14,"East")</f>
        <v>2</v>
      </c>
      <c r="H3" t="s">
        <v>44</v>
      </c>
      <c r="I3" t="s">
        <v>47</v>
      </c>
      <c r="J3">
        <v>20</v>
      </c>
      <c r="K3">
        <f>SUMIFS(J3:J14,H3:H14,"A",I3:I14,"Apple")</f>
        <v>90</v>
      </c>
      <c r="L3">
        <f>AVERAGEIFS(J3:J15,H3:H15,"A",I3:I15,"Apple")</f>
        <v>30</v>
      </c>
      <c r="M3">
        <f>COUNTIFS(H3:H15,"A",I3:I15,"Orange")</f>
        <v>1</v>
      </c>
      <c r="P3">
        <v>14</v>
      </c>
      <c r="Q3" t="str">
        <f>IF(P3&gt;18,"Above 18","Below 18")</f>
        <v>Below 18</v>
      </c>
      <c r="S3">
        <v>18</v>
      </c>
      <c r="T3" t="s">
        <v>55</v>
      </c>
      <c r="U3" t="b">
        <f>AND(S3&gt;18,T3="India")</f>
        <v>0</v>
      </c>
      <c r="V3" t="b">
        <f>OR(S3&lt;18,T3="India")</f>
        <v>1</v>
      </c>
      <c r="W3" t="str">
        <f>IF(AND(S3&lt;18,T3="India"),"Below 18 India", IF(AND(S3&lt;18,T3&lt;&gt;"India"),"Below 18"&amp;T3, IF(AND(S3&lt;56,T3="India"),"Middleage India", IF(AND(S3&lt;56,T3&lt;&gt;"India"),"Middleage"&amp;T3, IF(AND(S3&gt;56,T3="India"),"Senior Citizen India","Senior Citizen"&amp;T3)))))</f>
        <v>Middleage India</v>
      </c>
    </row>
    <row r="4" spans="1:23" x14ac:dyDescent="0.3">
      <c r="A4" t="s">
        <v>28</v>
      </c>
      <c r="B4">
        <v>50</v>
      </c>
      <c r="C4">
        <f>SUMIF(A2:A14,"E??t",B2:B14)</f>
        <v>120</v>
      </c>
      <c r="D4">
        <f>AVERAGEIF(A2:A14,"E??t",B2:B14)</f>
        <v>40</v>
      </c>
      <c r="E4">
        <f>COUNTIF(A2:A14,"South*")</f>
        <v>4</v>
      </c>
      <c r="H4" t="s">
        <v>44</v>
      </c>
      <c r="I4" t="s">
        <v>48</v>
      </c>
      <c r="J4">
        <v>10</v>
      </c>
      <c r="K4">
        <f>SUMIFS(J3:J15,H3:H15,"B",I3:I15,"Kiwi")</f>
        <v>90</v>
      </c>
      <c r="L4">
        <f>AVERAGEIFS(J3:J15,H3:H15,"C",I3:I15,"Orange")</f>
        <v>45</v>
      </c>
      <c r="M4">
        <f>COUNTIFS(H3:H15,"A",I3:I15,"Kiwi")</f>
        <v>1</v>
      </c>
      <c r="P4">
        <v>13</v>
      </c>
      <c r="Q4" t="str">
        <f t="shared" ref="Q4:Q8" si="0">IF(P4&gt;18,"Above 18","Below 18")</f>
        <v>Below 18</v>
      </c>
      <c r="S4">
        <v>21</v>
      </c>
      <c r="T4" t="s">
        <v>56</v>
      </c>
      <c r="U4" t="b">
        <f t="shared" ref="U4:U14" si="1">AND(S4&gt;18,T4="India")</f>
        <v>0</v>
      </c>
      <c r="V4" t="b">
        <f t="shared" ref="V4:V14" si="2">OR(S4&lt;18,T4="India")</f>
        <v>0</v>
      </c>
      <c r="W4" t="str">
        <f t="shared" ref="W4:W14" si="3">IF(AND(S4&lt;18,T4="India"),"Below 18 India", IF(AND(S4&lt;18,T4&lt;&gt;"India"),"Below 18"&amp;T4, IF(AND(S4&lt;56,T4="India"),"Middleage India", IF(AND(S4&lt;56,T4&lt;&gt;"India"),"Middleage"&amp;T4, IF(AND(S4&gt;56,T4="India"),"Senior Citizen India","Senior Citizen"&amp;T4)))))</f>
        <v>MiddleageRussia</v>
      </c>
    </row>
    <row r="5" spans="1:23" x14ac:dyDescent="0.3">
      <c r="A5" t="s">
        <v>29</v>
      </c>
      <c r="B5">
        <v>20</v>
      </c>
      <c r="C5">
        <f>SUMIF(A2:A14,"*Office",B2:B14)</f>
        <v>110</v>
      </c>
      <c r="D5">
        <f>AVERAGEIF(A2:A14,"*Office",B2:B14)</f>
        <v>55</v>
      </c>
      <c r="E5">
        <f>COUNTIF(A2:A14,"*Office")</f>
        <v>2</v>
      </c>
      <c r="H5" t="s">
        <v>45</v>
      </c>
      <c r="I5" t="s">
        <v>47</v>
      </c>
      <c r="J5">
        <v>20</v>
      </c>
      <c r="P5">
        <v>21</v>
      </c>
      <c r="Q5" t="str">
        <f t="shared" si="0"/>
        <v>Above 18</v>
      </c>
      <c r="S5">
        <v>14</v>
      </c>
      <c r="T5" t="s">
        <v>57</v>
      </c>
      <c r="U5" t="b">
        <f t="shared" si="1"/>
        <v>0</v>
      </c>
      <c r="V5" t="b">
        <f t="shared" si="2"/>
        <v>1</v>
      </c>
      <c r="W5" t="str">
        <f t="shared" si="3"/>
        <v>Below 18USA</v>
      </c>
    </row>
    <row r="6" spans="1:23" x14ac:dyDescent="0.3">
      <c r="A6" t="s">
        <v>30</v>
      </c>
      <c r="B6">
        <v>50</v>
      </c>
      <c r="C6">
        <f>SUMIF(A2:A14,"South*",B2:B14)</f>
        <v>260</v>
      </c>
      <c r="E6">
        <f>COUNTIF(A2:A14,"E??t")</f>
        <v>3</v>
      </c>
      <c r="H6" t="s">
        <v>45</v>
      </c>
      <c r="I6" t="s">
        <v>48</v>
      </c>
      <c r="J6">
        <v>30</v>
      </c>
      <c r="P6">
        <v>19</v>
      </c>
      <c r="Q6" t="str">
        <f t="shared" si="0"/>
        <v>Above 18</v>
      </c>
      <c r="S6">
        <v>13</v>
      </c>
      <c r="T6" t="s">
        <v>56</v>
      </c>
      <c r="U6" t="b">
        <f t="shared" si="1"/>
        <v>0</v>
      </c>
      <c r="V6" t="b">
        <f t="shared" si="2"/>
        <v>1</v>
      </c>
      <c r="W6" t="str">
        <f t="shared" si="3"/>
        <v>Below 18Russia</v>
      </c>
    </row>
    <row r="7" spans="1:23" x14ac:dyDescent="0.3">
      <c r="A7" t="s">
        <v>31</v>
      </c>
      <c r="B7">
        <v>60</v>
      </c>
      <c r="H7" t="s">
        <v>44</v>
      </c>
      <c r="I7" t="s">
        <v>49</v>
      </c>
      <c r="J7">
        <v>40</v>
      </c>
      <c r="P7">
        <v>21</v>
      </c>
      <c r="Q7" t="str">
        <f t="shared" si="0"/>
        <v>Above 18</v>
      </c>
      <c r="S7">
        <v>17</v>
      </c>
      <c r="T7" t="s">
        <v>55</v>
      </c>
      <c r="U7" t="b">
        <f t="shared" si="1"/>
        <v>0</v>
      </c>
      <c r="V7" t="b">
        <f t="shared" si="2"/>
        <v>1</v>
      </c>
      <c r="W7" t="str">
        <f t="shared" si="3"/>
        <v>Below 18 India</v>
      </c>
    </row>
    <row r="8" spans="1:23" x14ac:dyDescent="0.3">
      <c r="A8" t="s">
        <v>32</v>
      </c>
      <c r="B8">
        <v>50</v>
      </c>
      <c r="H8" t="s">
        <v>44</v>
      </c>
      <c r="I8" t="s">
        <v>47</v>
      </c>
      <c r="J8">
        <v>50</v>
      </c>
      <c r="P8">
        <v>14</v>
      </c>
      <c r="Q8" t="str">
        <f t="shared" si="0"/>
        <v>Below 18</v>
      </c>
      <c r="S8">
        <v>19</v>
      </c>
      <c r="T8" t="s">
        <v>58</v>
      </c>
      <c r="U8" t="b">
        <f t="shared" si="1"/>
        <v>0</v>
      </c>
      <c r="V8" t="b">
        <f t="shared" si="2"/>
        <v>0</v>
      </c>
      <c r="W8" t="str">
        <f t="shared" si="3"/>
        <v>MiddleageUK</v>
      </c>
    </row>
    <row r="9" spans="1:23" x14ac:dyDescent="0.3">
      <c r="A9" t="s">
        <v>33</v>
      </c>
      <c r="B9">
        <v>50</v>
      </c>
      <c r="H9" t="s">
        <v>45</v>
      </c>
      <c r="I9" t="s">
        <v>49</v>
      </c>
      <c r="J9">
        <v>60</v>
      </c>
      <c r="S9">
        <v>20</v>
      </c>
      <c r="T9" t="s">
        <v>55</v>
      </c>
      <c r="U9" t="b">
        <f t="shared" si="1"/>
        <v>1</v>
      </c>
      <c r="V9" t="b">
        <f t="shared" si="2"/>
        <v>1</v>
      </c>
      <c r="W9" t="str">
        <f t="shared" si="3"/>
        <v>Middleage India</v>
      </c>
    </row>
    <row r="10" spans="1:23" x14ac:dyDescent="0.3">
      <c r="A10" t="s">
        <v>34</v>
      </c>
      <c r="B10">
        <v>80</v>
      </c>
      <c r="H10" t="s">
        <v>46</v>
      </c>
      <c r="I10" t="s">
        <v>49</v>
      </c>
      <c r="J10">
        <v>70</v>
      </c>
      <c r="S10">
        <v>65</v>
      </c>
      <c r="T10" t="s">
        <v>55</v>
      </c>
      <c r="U10" t="b">
        <f t="shared" si="1"/>
        <v>1</v>
      </c>
      <c r="V10" t="b">
        <f t="shared" si="2"/>
        <v>1</v>
      </c>
      <c r="W10" t="str">
        <f t="shared" si="3"/>
        <v>Senior Citizen India</v>
      </c>
    </row>
    <row r="11" spans="1:23" x14ac:dyDescent="0.3">
      <c r="A11" t="s">
        <v>35</v>
      </c>
      <c r="B11">
        <v>90</v>
      </c>
      <c r="H11" t="s">
        <v>46</v>
      </c>
      <c r="I11" t="s">
        <v>48</v>
      </c>
      <c r="J11">
        <v>80</v>
      </c>
      <c r="S11">
        <v>43</v>
      </c>
      <c r="T11" t="s">
        <v>57</v>
      </c>
      <c r="U11" t="b">
        <f t="shared" si="1"/>
        <v>0</v>
      </c>
      <c r="V11" t="b">
        <f t="shared" si="2"/>
        <v>0</v>
      </c>
      <c r="W11" t="str">
        <f t="shared" si="3"/>
        <v>MiddleageUSA</v>
      </c>
    </row>
    <row r="12" spans="1:23" x14ac:dyDescent="0.3">
      <c r="A12" t="s">
        <v>36</v>
      </c>
      <c r="B12">
        <v>80</v>
      </c>
      <c r="H12" t="s">
        <v>46</v>
      </c>
      <c r="I12" t="s">
        <v>48</v>
      </c>
      <c r="J12">
        <v>10</v>
      </c>
      <c r="S12">
        <v>21</v>
      </c>
      <c r="T12" t="s">
        <v>58</v>
      </c>
      <c r="U12" t="b">
        <f t="shared" si="1"/>
        <v>0</v>
      </c>
      <c r="V12" t="b">
        <f t="shared" si="2"/>
        <v>0</v>
      </c>
      <c r="W12" t="str">
        <f t="shared" si="3"/>
        <v>MiddleageUK</v>
      </c>
    </row>
    <row r="13" spans="1:23" x14ac:dyDescent="0.3">
      <c r="A13" t="s">
        <v>26</v>
      </c>
      <c r="B13">
        <v>50</v>
      </c>
      <c r="H13" t="s">
        <v>44</v>
      </c>
      <c r="I13" t="s">
        <v>47</v>
      </c>
      <c r="J13">
        <v>20</v>
      </c>
      <c r="S13">
        <v>19</v>
      </c>
      <c r="T13" t="s">
        <v>57</v>
      </c>
      <c r="U13" t="b">
        <f t="shared" si="1"/>
        <v>0</v>
      </c>
      <c r="V13" t="b">
        <f t="shared" si="2"/>
        <v>0</v>
      </c>
      <c r="W13" t="str">
        <f t="shared" si="3"/>
        <v>MiddleageUSA</v>
      </c>
    </row>
    <row r="14" spans="1:23" x14ac:dyDescent="0.3">
      <c r="A14" t="s">
        <v>28</v>
      </c>
      <c r="B14">
        <v>20</v>
      </c>
      <c r="H14" t="s">
        <v>45</v>
      </c>
      <c r="I14" t="s">
        <v>48</v>
      </c>
      <c r="J14">
        <v>30</v>
      </c>
      <c r="S14">
        <v>17</v>
      </c>
      <c r="T14" t="s">
        <v>58</v>
      </c>
      <c r="U14" t="b">
        <f t="shared" si="1"/>
        <v>0</v>
      </c>
      <c r="V14" t="b">
        <f t="shared" si="2"/>
        <v>1</v>
      </c>
      <c r="W14" t="str">
        <f t="shared" si="3"/>
        <v>Below 18UK</v>
      </c>
    </row>
    <row r="15" spans="1:23" x14ac:dyDescent="0.3">
      <c r="H15" t="s">
        <v>45</v>
      </c>
      <c r="I15" t="s">
        <v>49</v>
      </c>
      <c r="J15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0436-062E-4955-BB7C-AB459D0B116D}">
  <dimension ref="A1:AJ11"/>
  <sheetViews>
    <sheetView topLeftCell="T1" workbookViewId="0">
      <selection activeCell="AJ3" sqref="AJ3"/>
    </sheetView>
  </sheetViews>
  <sheetFormatPr defaultRowHeight="14.4" x14ac:dyDescent="0.3"/>
  <cols>
    <col min="7" max="7" width="11.44140625" customWidth="1"/>
    <col min="9" max="9" width="11.6640625" customWidth="1"/>
    <col min="10" max="10" width="11.44140625" customWidth="1"/>
    <col min="11" max="11" width="12.21875" customWidth="1"/>
    <col min="15" max="15" width="15" customWidth="1"/>
    <col min="18" max="18" width="10.33203125" customWidth="1"/>
    <col min="27" max="27" width="9.6640625" customWidth="1"/>
  </cols>
  <sheetData>
    <row r="1" spans="1:36" x14ac:dyDescent="0.3">
      <c r="A1" t="s">
        <v>63</v>
      </c>
      <c r="B1" t="s">
        <v>64</v>
      </c>
      <c r="C1" t="s">
        <v>65</v>
      </c>
      <c r="D1" t="s">
        <v>66</v>
      </c>
      <c r="F1" t="s">
        <v>63</v>
      </c>
      <c r="G1" t="s">
        <v>79</v>
      </c>
      <c r="H1" t="s">
        <v>77</v>
      </c>
      <c r="I1" t="s">
        <v>78</v>
      </c>
      <c r="K1" t="s">
        <v>80</v>
      </c>
      <c r="L1" t="s">
        <v>81</v>
      </c>
      <c r="M1" t="s">
        <v>82</v>
      </c>
      <c r="N1" t="s">
        <v>83</v>
      </c>
      <c r="T1" t="s">
        <v>86</v>
      </c>
      <c r="U1" t="s">
        <v>87</v>
      </c>
      <c r="V1" t="s">
        <v>88</v>
      </c>
      <c r="W1" t="s">
        <v>89</v>
      </c>
      <c r="X1" t="s">
        <v>84</v>
      </c>
      <c r="Y1" t="s">
        <v>85</v>
      </c>
      <c r="Z1" t="s">
        <v>43</v>
      </c>
      <c r="AB1" t="s">
        <v>90</v>
      </c>
      <c r="AC1" t="s">
        <v>91</v>
      </c>
      <c r="AD1" t="s">
        <v>92</v>
      </c>
      <c r="AE1" t="s">
        <v>93</v>
      </c>
    </row>
    <row r="2" spans="1:36" x14ac:dyDescent="0.3">
      <c r="A2">
        <v>101</v>
      </c>
      <c r="B2" t="s">
        <v>67</v>
      </c>
      <c r="C2">
        <v>9789</v>
      </c>
      <c r="D2">
        <v>1400</v>
      </c>
      <c r="F2">
        <v>106</v>
      </c>
      <c r="G2">
        <f>MATCH(F2,A:A,0)</f>
        <v>9</v>
      </c>
      <c r="H2" cm="1">
        <f t="array" ref="H2">INDEX(C:C,G2)</f>
        <v>9796</v>
      </c>
      <c r="I2">
        <f>INDEX(C:C,MATCH(A4,A:A,0))</f>
        <v>9791</v>
      </c>
      <c r="K2">
        <v>110</v>
      </c>
      <c r="L2" t="str">
        <f>VLOOKUP(K2,A:D,2,FALSE)</f>
        <v>A2</v>
      </c>
      <c r="M2">
        <f>VLOOKUP(K2,A:D,3,0)</f>
        <v>9790</v>
      </c>
      <c r="N2">
        <f>VLOOKUP(K2,A:D,4,0)</f>
        <v>1450</v>
      </c>
      <c r="O2" t="str">
        <f>_xlfn.IFNA(VLOOKUP(K5,A:D,2,0),"Not Available Data")</f>
        <v>Not Available Data</v>
      </c>
      <c r="P2" t="s">
        <v>67</v>
      </c>
      <c r="Q2">
        <f>INDEX(A:A,MATCH(P2,B:B,0))</f>
        <v>101</v>
      </c>
      <c r="S2" t="s">
        <v>84</v>
      </c>
      <c r="T2">
        <v>400</v>
      </c>
      <c r="U2">
        <v>450</v>
      </c>
      <c r="V2">
        <v>1000</v>
      </c>
      <c r="W2">
        <v>5000</v>
      </c>
      <c r="X2">
        <f>HLOOKUP("Feb",S:W,2,0)</f>
        <v>450</v>
      </c>
      <c r="Y2">
        <f>HLOOKUP("March",S:W,3,FALSE)</f>
        <v>250</v>
      </c>
      <c r="Z2">
        <f>HLOOKUP("April",S:W,4,0)</f>
        <v>75</v>
      </c>
      <c r="AB2">
        <v>101</v>
      </c>
      <c r="AC2" t="s">
        <v>44</v>
      </c>
      <c r="AD2" t="s">
        <v>96</v>
      </c>
      <c r="AE2">
        <v>1000</v>
      </c>
      <c r="AF2" t="str">
        <f>_xlfn.XLOOKUP(104,AB:AB,AC:AC,"Not Available",0)</f>
        <v>D</v>
      </c>
      <c r="AH2" t="s">
        <v>45</v>
      </c>
      <c r="AI2">
        <f>_xlfn.XLOOKUP(AH2,AC:AC,AB:AB,"Not Available",0)</f>
        <v>102</v>
      </c>
      <c r="AJ2" t="str">
        <f>_xlfn.XLOOKUP("H",AC:AC,AB:AB,"Not Available",0)</f>
        <v>Not Available</v>
      </c>
    </row>
    <row r="3" spans="1:36" ht="18" x14ac:dyDescent="0.35">
      <c r="A3">
        <v>110</v>
      </c>
      <c r="B3" t="s">
        <v>68</v>
      </c>
      <c r="C3">
        <v>9790</v>
      </c>
      <c r="D3">
        <v>1450</v>
      </c>
      <c r="F3">
        <v>108</v>
      </c>
      <c r="G3">
        <f t="shared" ref="G3:G4" si="0">MATCH(F3,A:A,0)</f>
        <v>11</v>
      </c>
      <c r="H3" cm="1">
        <f t="array" ref="H3">INDEX(C:C,G3)</f>
        <v>9798</v>
      </c>
      <c r="I3">
        <f t="shared" ref="I3:I4" si="1">INDEX(C:C,MATCH(A5,A:A,0))</f>
        <v>9792</v>
      </c>
      <c r="J3" s="4" t="s">
        <v>100</v>
      </c>
      <c r="K3">
        <v>105</v>
      </c>
      <c r="L3" t="str">
        <f t="shared" ref="L3:L5" si="2">VLOOKUP(K3,A:D,2,FALSE)</f>
        <v>A7</v>
      </c>
      <c r="M3">
        <f t="shared" ref="M3:M5" si="3">VLOOKUP(K3,A:D,3,0)</f>
        <v>9795</v>
      </c>
      <c r="N3">
        <f t="shared" ref="N3:N5" si="4">VLOOKUP(K3,A:D,4,0)</f>
        <v>2000</v>
      </c>
      <c r="P3" t="s">
        <v>68</v>
      </c>
      <c r="Q3">
        <f t="shared" ref="Q3:Q4" si="5">INDEX(A:A,MATCH(P3,B:B,0))</f>
        <v>110</v>
      </c>
      <c r="R3" s="4" t="s">
        <v>99</v>
      </c>
      <c r="S3" t="s">
        <v>85</v>
      </c>
      <c r="T3">
        <v>140</v>
      </c>
      <c r="U3">
        <v>150</v>
      </c>
      <c r="V3">
        <v>250</v>
      </c>
      <c r="W3">
        <v>1000</v>
      </c>
      <c r="AB3">
        <v>102</v>
      </c>
      <c r="AC3" t="s">
        <v>45</v>
      </c>
      <c r="AD3" t="s">
        <v>97</v>
      </c>
      <c r="AE3">
        <v>2000</v>
      </c>
      <c r="AF3" t="str">
        <f>_xlfn.XLOOKUP(110,AB:AB,AC:AC,"Not Available",0)</f>
        <v>Not Available</v>
      </c>
      <c r="AH3" t="s">
        <v>44</v>
      </c>
      <c r="AI3">
        <f t="shared" ref="AI3:AI4" si="6">_xlfn.XLOOKUP(AH3,AC:AC,AB:AB,"Not Available",0)</f>
        <v>101</v>
      </c>
    </row>
    <row r="4" spans="1:36" ht="18" x14ac:dyDescent="0.35">
      <c r="A4">
        <v>104</v>
      </c>
      <c r="B4" t="s">
        <v>69</v>
      </c>
      <c r="C4">
        <v>9791</v>
      </c>
      <c r="D4">
        <v>1250</v>
      </c>
      <c r="F4">
        <v>103</v>
      </c>
      <c r="G4">
        <f t="shared" si="0"/>
        <v>7</v>
      </c>
      <c r="H4" cm="1">
        <f t="array" ref="H4">INDEX(C:C,G4)</f>
        <v>9794</v>
      </c>
      <c r="I4">
        <f t="shared" si="1"/>
        <v>9793</v>
      </c>
      <c r="K4">
        <v>107</v>
      </c>
      <c r="L4" t="str">
        <f t="shared" si="2"/>
        <v>A5</v>
      </c>
      <c r="M4">
        <f t="shared" si="3"/>
        <v>9793</v>
      </c>
      <c r="N4">
        <f t="shared" si="4"/>
        <v>1800</v>
      </c>
      <c r="P4" t="s">
        <v>69</v>
      </c>
      <c r="Q4">
        <f t="shared" si="5"/>
        <v>104</v>
      </c>
      <c r="S4" t="s">
        <v>43</v>
      </c>
      <c r="T4">
        <v>25</v>
      </c>
      <c r="U4">
        <v>50</v>
      </c>
      <c r="V4">
        <v>60</v>
      </c>
      <c r="W4">
        <v>75</v>
      </c>
      <c r="AA4" s="4" t="s">
        <v>98</v>
      </c>
      <c r="AB4">
        <v>103</v>
      </c>
      <c r="AC4" t="s">
        <v>46</v>
      </c>
      <c r="AD4" t="s">
        <v>96</v>
      </c>
      <c r="AE4">
        <v>1500</v>
      </c>
      <c r="AH4" t="s">
        <v>94</v>
      </c>
      <c r="AI4">
        <f t="shared" si="6"/>
        <v>104</v>
      </c>
    </row>
    <row r="5" spans="1:36" x14ac:dyDescent="0.3">
      <c r="A5">
        <v>102</v>
      </c>
      <c r="B5" t="s">
        <v>70</v>
      </c>
      <c r="C5">
        <v>9792</v>
      </c>
      <c r="D5">
        <v>1600</v>
      </c>
      <c r="K5">
        <v>100</v>
      </c>
      <c r="L5" t="e">
        <f t="shared" si="2"/>
        <v>#N/A</v>
      </c>
      <c r="M5" t="e">
        <f t="shared" si="3"/>
        <v>#N/A</v>
      </c>
      <c r="N5" t="e">
        <f t="shared" si="4"/>
        <v>#N/A</v>
      </c>
      <c r="AB5">
        <v>104</v>
      </c>
      <c r="AC5" t="s">
        <v>94</v>
      </c>
      <c r="AD5" t="s">
        <v>97</v>
      </c>
      <c r="AE5">
        <v>3000</v>
      </c>
    </row>
    <row r="6" spans="1:36" x14ac:dyDescent="0.3">
      <c r="A6">
        <v>107</v>
      </c>
      <c r="B6" t="s">
        <v>71</v>
      </c>
      <c r="C6">
        <v>9793</v>
      </c>
      <c r="D6">
        <v>1800</v>
      </c>
      <c r="AB6">
        <v>105</v>
      </c>
      <c r="AC6" t="s">
        <v>95</v>
      </c>
      <c r="AD6" t="s">
        <v>97</v>
      </c>
      <c r="AE6">
        <v>2500</v>
      </c>
    </row>
    <row r="7" spans="1:36" x14ac:dyDescent="0.3">
      <c r="A7">
        <v>103</v>
      </c>
      <c r="B7" t="s">
        <v>72</v>
      </c>
      <c r="C7">
        <v>9794</v>
      </c>
      <c r="D7">
        <v>1400</v>
      </c>
    </row>
    <row r="8" spans="1:36" x14ac:dyDescent="0.3">
      <c r="A8">
        <v>105</v>
      </c>
      <c r="B8" t="s">
        <v>73</v>
      </c>
      <c r="C8">
        <v>9795</v>
      </c>
      <c r="D8">
        <v>2000</v>
      </c>
    </row>
    <row r="9" spans="1:36" x14ac:dyDescent="0.3">
      <c r="A9">
        <v>106</v>
      </c>
      <c r="B9" t="s">
        <v>74</v>
      </c>
      <c r="C9">
        <v>9796</v>
      </c>
      <c r="D9">
        <v>1400</v>
      </c>
    </row>
    <row r="10" spans="1:36" x14ac:dyDescent="0.3">
      <c r="A10">
        <v>109</v>
      </c>
      <c r="B10" t="s">
        <v>75</v>
      </c>
      <c r="C10">
        <v>9797</v>
      </c>
      <c r="D10">
        <v>2000</v>
      </c>
    </row>
    <row r="11" spans="1:36" x14ac:dyDescent="0.3">
      <c r="A11">
        <v>108</v>
      </c>
      <c r="B11" t="s">
        <v>76</v>
      </c>
      <c r="C11">
        <v>9798</v>
      </c>
      <c r="D11">
        <v>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2AAF-022C-4E62-8124-FC402333AB6A}">
  <dimension ref="A1:X26"/>
  <sheetViews>
    <sheetView workbookViewId="0">
      <selection activeCell="Z2" sqref="Z2"/>
    </sheetView>
  </sheetViews>
  <sheetFormatPr defaultRowHeight="14.4" x14ac:dyDescent="0.3"/>
  <cols>
    <col min="1" max="1" width="10" bestFit="1" customWidth="1"/>
    <col min="4" max="4" width="11" customWidth="1"/>
    <col min="18" max="18" width="12" customWidth="1"/>
  </cols>
  <sheetData>
    <row r="1" spans="1:24" x14ac:dyDescent="0.3">
      <c r="A1" t="s">
        <v>101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R1" t="s">
        <v>102</v>
      </c>
      <c r="S1" t="s">
        <v>105</v>
      </c>
      <c r="T1" t="s">
        <v>106</v>
      </c>
      <c r="V1" t="s">
        <v>101</v>
      </c>
      <c r="W1" t="s">
        <v>103</v>
      </c>
      <c r="X1" t="s">
        <v>104</v>
      </c>
    </row>
    <row r="2" spans="1:24" x14ac:dyDescent="0.3">
      <c r="A2">
        <v>1.4578</v>
      </c>
      <c r="B2">
        <f>ABS(A2)</f>
        <v>1.4578</v>
      </c>
      <c r="C2">
        <f>SIGN(A2)</f>
        <v>1</v>
      </c>
      <c r="D2">
        <f>POWER(A2,2)</f>
        <v>2.1251808400000001</v>
      </c>
      <c r="E2">
        <f>TRUNC(A2,2)</f>
        <v>1.45</v>
      </c>
      <c r="F2">
        <f>ROUND(A2,2)</f>
        <v>1.46</v>
      </c>
      <c r="G2">
        <f>ROUNDUP(A2,3)</f>
        <v>1.458</v>
      </c>
      <c r="H2">
        <f>INT(A2)</f>
        <v>1</v>
      </c>
      <c r="I2">
        <f>MOD(A2,3)</f>
        <v>1.4578</v>
      </c>
      <c r="J2">
        <f>A2/3</f>
        <v>0.48593333333333333</v>
      </c>
      <c r="K2">
        <f>SUM(A:A)</f>
        <v>1095546.0827000001</v>
      </c>
      <c r="L2">
        <f>AVERAGE(A:A)</f>
        <v>43821.843308000003</v>
      </c>
      <c r="M2">
        <f>MAX(A:A)</f>
        <v>887084</v>
      </c>
      <c r="N2">
        <f>MIN(A:A)</f>
        <v>-9489.52</v>
      </c>
      <c r="O2">
        <f>COUNT(A:A)</f>
        <v>25</v>
      </c>
      <c r="P2">
        <f>SQRT(114)</f>
        <v>10.677078252031311</v>
      </c>
      <c r="R2">
        <v>90</v>
      </c>
      <c r="S2">
        <f>LARGE(R2:R11,2)</f>
        <v>93</v>
      </c>
      <c r="T2">
        <f>SMALL(R2:R11,2)</f>
        <v>49</v>
      </c>
      <c r="V2">
        <v>1</v>
      </c>
      <c r="W2">
        <f>MODE(V2:V13)</f>
        <v>2</v>
      </c>
      <c r="X2">
        <f>MEDIAN(V2:V13)</f>
        <v>2</v>
      </c>
    </row>
    <row r="3" spans="1:24" x14ac:dyDescent="0.3">
      <c r="A3">
        <v>2.1417000000000002</v>
      </c>
      <c r="B3">
        <f t="shared" ref="B3:B26" si="0">ABS(A3)</f>
        <v>2.1417000000000002</v>
      </c>
      <c r="C3">
        <f t="shared" ref="C3:C26" si="1">SIGN(A3)</f>
        <v>1</v>
      </c>
      <c r="D3">
        <f t="shared" ref="D3:D26" si="2">POWER(A3,2)</f>
        <v>4.5868788900000004</v>
      </c>
      <c r="E3">
        <f t="shared" ref="E3:E26" si="3">TRUNC(A3,2)</f>
        <v>2.14</v>
      </c>
      <c r="F3">
        <f t="shared" ref="F3:F26" si="4">ROUND(A3,2)</f>
        <v>2.14</v>
      </c>
      <c r="G3">
        <f t="shared" ref="G3:G26" si="5">ROUNDUP(A3,3)</f>
        <v>2.1419999999999999</v>
      </c>
      <c r="H3">
        <f t="shared" ref="H3:H26" si="6">INT(A3)</f>
        <v>2</v>
      </c>
      <c r="I3">
        <f t="shared" ref="I3:I26" si="7">MOD(A3,3)</f>
        <v>2.1417000000000002</v>
      </c>
      <c r="J3">
        <f t="shared" ref="J3:J26" si="8">A3/3</f>
        <v>0.71390000000000009</v>
      </c>
      <c r="P3">
        <f>SQRT(100)</f>
        <v>10</v>
      </c>
      <c r="R3">
        <v>87</v>
      </c>
      <c r="V3">
        <v>4</v>
      </c>
    </row>
    <row r="4" spans="1:24" x14ac:dyDescent="0.3">
      <c r="A4">
        <v>3413.1475</v>
      </c>
      <c r="B4">
        <f t="shared" si="0"/>
        <v>3413.1475</v>
      </c>
      <c r="C4">
        <f t="shared" si="1"/>
        <v>1</v>
      </c>
      <c r="D4">
        <f t="shared" si="2"/>
        <v>11649575.856756249</v>
      </c>
      <c r="E4">
        <f t="shared" si="3"/>
        <v>3413.14</v>
      </c>
      <c r="F4">
        <f t="shared" si="4"/>
        <v>3413.15</v>
      </c>
      <c r="G4">
        <f t="shared" si="5"/>
        <v>3413.1480000000001</v>
      </c>
      <c r="H4">
        <f t="shared" si="6"/>
        <v>3413</v>
      </c>
      <c r="I4">
        <f t="shared" si="7"/>
        <v>2.1475000000000364</v>
      </c>
      <c r="J4">
        <f t="shared" si="8"/>
        <v>1137.7158333333334</v>
      </c>
      <c r="R4">
        <v>93</v>
      </c>
      <c r="V4">
        <v>1</v>
      </c>
    </row>
    <row r="5" spans="1:24" x14ac:dyDescent="0.3">
      <c r="A5">
        <v>9361.39</v>
      </c>
      <c r="B5">
        <f t="shared" si="0"/>
        <v>9361.39</v>
      </c>
      <c r="C5">
        <f t="shared" si="1"/>
        <v>1</v>
      </c>
      <c r="D5">
        <f t="shared" si="2"/>
        <v>87635622.732099995</v>
      </c>
      <c r="E5">
        <f t="shared" si="3"/>
        <v>9361.39</v>
      </c>
      <c r="F5">
        <f t="shared" si="4"/>
        <v>9361.39</v>
      </c>
      <c r="G5">
        <f t="shared" si="5"/>
        <v>9361.39</v>
      </c>
      <c r="H5">
        <f t="shared" si="6"/>
        <v>9361</v>
      </c>
      <c r="I5">
        <f t="shared" si="7"/>
        <v>1.3899999999994179</v>
      </c>
      <c r="J5">
        <f t="shared" si="8"/>
        <v>3120.4633333333331</v>
      </c>
      <c r="R5">
        <v>52</v>
      </c>
      <c r="V5">
        <v>4</v>
      </c>
    </row>
    <row r="6" spans="1:24" x14ac:dyDescent="0.3">
      <c r="A6">
        <v>-1246.2</v>
      </c>
      <c r="B6">
        <f t="shared" si="0"/>
        <v>1246.2</v>
      </c>
      <c r="C6">
        <f t="shared" si="1"/>
        <v>-1</v>
      </c>
      <c r="D6">
        <f t="shared" si="2"/>
        <v>1553014.4400000002</v>
      </c>
      <c r="E6">
        <f t="shared" si="3"/>
        <v>-1246.2</v>
      </c>
      <c r="F6">
        <f t="shared" si="4"/>
        <v>-1246.2</v>
      </c>
      <c r="G6">
        <f t="shared" si="5"/>
        <v>-1246.2</v>
      </c>
      <c r="H6">
        <f t="shared" si="6"/>
        <v>-1247</v>
      </c>
      <c r="I6">
        <f t="shared" si="7"/>
        <v>1.7999999999999545</v>
      </c>
      <c r="J6">
        <f t="shared" si="8"/>
        <v>-415.40000000000003</v>
      </c>
      <c r="R6">
        <v>63</v>
      </c>
      <c r="V6">
        <v>2</v>
      </c>
    </row>
    <row r="7" spans="1:24" x14ac:dyDescent="0.3">
      <c r="A7">
        <v>3456.8090000000002</v>
      </c>
      <c r="B7">
        <f t="shared" si="0"/>
        <v>3456.8090000000002</v>
      </c>
      <c r="C7">
        <f t="shared" si="1"/>
        <v>1</v>
      </c>
      <c r="D7">
        <f t="shared" si="2"/>
        <v>11949528.462481001</v>
      </c>
      <c r="E7">
        <f t="shared" si="3"/>
        <v>3456.8</v>
      </c>
      <c r="F7">
        <f t="shared" si="4"/>
        <v>3456.81</v>
      </c>
      <c r="G7">
        <f t="shared" si="5"/>
        <v>3456.8090000000002</v>
      </c>
      <c r="H7">
        <f t="shared" si="6"/>
        <v>3456</v>
      </c>
      <c r="I7">
        <f t="shared" si="7"/>
        <v>0.80900000000019645</v>
      </c>
      <c r="J7">
        <f t="shared" si="8"/>
        <v>1152.2696666666668</v>
      </c>
      <c r="R7">
        <v>35</v>
      </c>
      <c r="V7">
        <v>2</v>
      </c>
    </row>
    <row r="8" spans="1:24" x14ac:dyDescent="0.3">
      <c r="A8">
        <v>-6732.2309999999998</v>
      </c>
      <c r="B8">
        <f t="shared" si="0"/>
        <v>6732.2309999999998</v>
      </c>
      <c r="C8">
        <f t="shared" si="1"/>
        <v>-1</v>
      </c>
      <c r="D8">
        <f t="shared" si="2"/>
        <v>45322934.237360999</v>
      </c>
      <c r="E8">
        <f t="shared" si="3"/>
        <v>-6732.23</v>
      </c>
      <c r="F8">
        <f t="shared" si="4"/>
        <v>-6732.23</v>
      </c>
      <c r="G8">
        <f t="shared" si="5"/>
        <v>-6732.2309999999998</v>
      </c>
      <c r="H8">
        <f t="shared" si="6"/>
        <v>-6733</v>
      </c>
      <c r="I8">
        <f t="shared" si="7"/>
        <v>2.7690000000002328</v>
      </c>
      <c r="J8">
        <f t="shared" si="8"/>
        <v>-2244.0769999999998</v>
      </c>
      <c r="R8">
        <v>49</v>
      </c>
      <c r="V8">
        <v>2</v>
      </c>
    </row>
    <row r="9" spans="1:24" x14ac:dyDescent="0.3">
      <c r="A9">
        <v>6380.3626999999997</v>
      </c>
      <c r="B9">
        <f t="shared" si="0"/>
        <v>6380.3626999999997</v>
      </c>
      <c r="C9">
        <f t="shared" si="1"/>
        <v>1</v>
      </c>
      <c r="D9">
        <f t="shared" si="2"/>
        <v>40709028.183551289</v>
      </c>
      <c r="E9">
        <f t="shared" si="3"/>
        <v>6380.36</v>
      </c>
      <c r="F9">
        <f t="shared" si="4"/>
        <v>6380.36</v>
      </c>
      <c r="G9">
        <f t="shared" si="5"/>
        <v>6380.3630000000003</v>
      </c>
      <c r="H9">
        <f t="shared" si="6"/>
        <v>6380</v>
      </c>
      <c r="I9">
        <f t="shared" si="7"/>
        <v>2.3626999999996769</v>
      </c>
      <c r="J9">
        <f t="shared" si="8"/>
        <v>2126.7875666666664</v>
      </c>
      <c r="R9">
        <v>95</v>
      </c>
      <c r="V9">
        <v>3</v>
      </c>
    </row>
    <row r="10" spans="1:24" x14ac:dyDescent="0.3">
      <c r="A10">
        <v>4598.2349999999997</v>
      </c>
      <c r="B10">
        <f t="shared" si="0"/>
        <v>4598.2349999999997</v>
      </c>
      <c r="C10">
        <f t="shared" si="1"/>
        <v>1</v>
      </c>
      <c r="D10">
        <f t="shared" si="2"/>
        <v>21143765.115224998</v>
      </c>
      <c r="E10">
        <f t="shared" si="3"/>
        <v>4598.2299999999996</v>
      </c>
      <c r="F10">
        <f t="shared" si="4"/>
        <v>4598.24</v>
      </c>
      <c r="G10">
        <f t="shared" si="5"/>
        <v>4598.2349999999997</v>
      </c>
      <c r="H10">
        <f t="shared" si="6"/>
        <v>4598</v>
      </c>
      <c r="I10">
        <f t="shared" si="7"/>
        <v>2.2349999999996726</v>
      </c>
      <c r="J10">
        <f t="shared" si="8"/>
        <v>1532.7449999999999</v>
      </c>
      <c r="R10">
        <v>81</v>
      </c>
      <c r="V10">
        <v>2</v>
      </c>
    </row>
    <row r="11" spans="1:24" x14ac:dyDescent="0.3">
      <c r="A11">
        <v>-9489.52</v>
      </c>
      <c r="B11">
        <f t="shared" si="0"/>
        <v>9489.52</v>
      </c>
      <c r="C11">
        <f t="shared" si="1"/>
        <v>-1</v>
      </c>
      <c r="D11">
        <f t="shared" si="2"/>
        <v>90050989.830400005</v>
      </c>
      <c r="E11">
        <f t="shared" si="3"/>
        <v>-9489.52</v>
      </c>
      <c r="F11">
        <f t="shared" si="4"/>
        <v>-9489.52</v>
      </c>
      <c r="G11">
        <f t="shared" si="5"/>
        <v>-9489.52</v>
      </c>
      <c r="H11">
        <f t="shared" si="6"/>
        <v>-9490</v>
      </c>
      <c r="I11">
        <f t="shared" si="7"/>
        <v>2.4799999999995634</v>
      </c>
      <c r="J11">
        <f t="shared" si="8"/>
        <v>-3163.1733333333336</v>
      </c>
      <c r="R11">
        <v>70</v>
      </c>
      <c r="V11">
        <v>2</v>
      </c>
    </row>
    <row r="12" spans="1:24" x14ac:dyDescent="0.3">
      <c r="A12">
        <v>9789.3799999999992</v>
      </c>
      <c r="B12">
        <f t="shared" si="0"/>
        <v>9789.3799999999992</v>
      </c>
      <c r="C12">
        <f t="shared" si="1"/>
        <v>1</v>
      </c>
      <c r="D12">
        <f t="shared" si="2"/>
        <v>95831960.784399986</v>
      </c>
      <c r="E12">
        <f t="shared" si="3"/>
        <v>9789.3799999999992</v>
      </c>
      <c r="F12">
        <f t="shared" si="4"/>
        <v>9789.3799999999992</v>
      </c>
      <c r="G12">
        <f t="shared" si="5"/>
        <v>9789.3799999999992</v>
      </c>
      <c r="H12">
        <f t="shared" si="6"/>
        <v>9789</v>
      </c>
      <c r="I12">
        <f t="shared" si="7"/>
        <v>0.37999999999919964</v>
      </c>
      <c r="J12">
        <f t="shared" si="8"/>
        <v>3263.1266666666666</v>
      </c>
      <c r="V12">
        <v>2</v>
      </c>
    </row>
    <row r="13" spans="1:24" x14ac:dyDescent="0.3">
      <c r="A13">
        <v>887084</v>
      </c>
      <c r="B13">
        <f t="shared" si="0"/>
        <v>887084</v>
      </c>
      <c r="C13">
        <f t="shared" si="1"/>
        <v>1</v>
      </c>
      <c r="D13">
        <f t="shared" si="2"/>
        <v>786918023056</v>
      </c>
      <c r="E13">
        <f t="shared" si="3"/>
        <v>887084</v>
      </c>
      <c r="F13">
        <f t="shared" si="4"/>
        <v>887084</v>
      </c>
      <c r="G13">
        <f t="shared" si="5"/>
        <v>887084</v>
      </c>
      <c r="H13">
        <f t="shared" si="6"/>
        <v>887084</v>
      </c>
      <c r="I13">
        <f t="shared" si="7"/>
        <v>2</v>
      </c>
      <c r="J13">
        <f t="shared" si="8"/>
        <v>295694.66666666669</v>
      </c>
      <c r="V13">
        <v>7</v>
      </c>
    </row>
    <row r="14" spans="1:24" x14ac:dyDescent="0.3">
      <c r="A14">
        <v>2243</v>
      </c>
      <c r="B14">
        <f t="shared" si="0"/>
        <v>2243</v>
      </c>
      <c r="C14">
        <f t="shared" si="1"/>
        <v>1</v>
      </c>
      <c r="D14">
        <f t="shared" si="2"/>
        <v>5031049</v>
      </c>
      <c r="E14">
        <f t="shared" si="3"/>
        <v>2243</v>
      </c>
      <c r="F14">
        <f t="shared" si="4"/>
        <v>2243</v>
      </c>
      <c r="G14">
        <f t="shared" si="5"/>
        <v>2243</v>
      </c>
      <c r="H14">
        <f t="shared" si="6"/>
        <v>2243</v>
      </c>
      <c r="I14">
        <f t="shared" si="7"/>
        <v>2</v>
      </c>
      <c r="J14">
        <f t="shared" si="8"/>
        <v>747.66666666666663</v>
      </c>
    </row>
    <row r="15" spans="1:24" x14ac:dyDescent="0.3">
      <c r="A15">
        <v>7418.85</v>
      </c>
      <c r="B15">
        <f t="shared" si="0"/>
        <v>7418.85</v>
      </c>
      <c r="C15">
        <f t="shared" si="1"/>
        <v>1</v>
      </c>
      <c r="D15">
        <f t="shared" si="2"/>
        <v>55039335.322500005</v>
      </c>
      <c r="E15">
        <f t="shared" si="3"/>
        <v>7418.85</v>
      </c>
      <c r="F15">
        <f t="shared" si="4"/>
        <v>7418.85</v>
      </c>
      <c r="G15">
        <f t="shared" si="5"/>
        <v>7418.85</v>
      </c>
      <c r="H15">
        <f t="shared" si="6"/>
        <v>7418</v>
      </c>
      <c r="I15">
        <f t="shared" si="7"/>
        <v>2.8500000000003638</v>
      </c>
      <c r="J15">
        <f t="shared" si="8"/>
        <v>2472.9500000000003</v>
      </c>
    </row>
    <row r="16" spans="1:24" x14ac:dyDescent="0.3">
      <c r="A16">
        <v>8940</v>
      </c>
      <c r="B16">
        <f t="shared" si="0"/>
        <v>8940</v>
      </c>
      <c r="C16">
        <f t="shared" si="1"/>
        <v>1</v>
      </c>
      <c r="D16">
        <f t="shared" si="2"/>
        <v>79923600</v>
      </c>
      <c r="E16">
        <f t="shared" si="3"/>
        <v>8940</v>
      </c>
      <c r="F16">
        <f t="shared" si="4"/>
        <v>8940</v>
      </c>
      <c r="G16">
        <f t="shared" si="5"/>
        <v>8940</v>
      </c>
      <c r="H16">
        <f t="shared" si="6"/>
        <v>8940</v>
      </c>
      <c r="I16">
        <f t="shared" si="7"/>
        <v>0</v>
      </c>
      <c r="J16">
        <f t="shared" si="8"/>
        <v>2980</v>
      </c>
    </row>
    <row r="17" spans="1:10" x14ac:dyDescent="0.3">
      <c r="A17">
        <v>-5543.91</v>
      </c>
      <c r="B17">
        <f t="shared" si="0"/>
        <v>5543.91</v>
      </c>
      <c r="C17">
        <f t="shared" si="1"/>
        <v>-1</v>
      </c>
      <c r="D17">
        <f t="shared" si="2"/>
        <v>30734938.088099997</v>
      </c>
      <c r="E17">
        <f t="shared" si="3"/>
        <v>-5543.91</v>
      </c>
      <c r="F17">
        <f t="shared" si="4"/>
        <v>-5543.91</v>
      </c>
      <c r="G17">
        <f t="shared" si="5"/>
        <v>-5543.91</v>
      </c>
      <c r="H17">
        <f t="shared" si="6"/>
        <v>-5544</v>
      </c>
      <c r="I17">
        <f t="shared" si="7"/>
        <v>9.0000000000145519E-2</v>
      </c>
      <c r="J17">
        <f t="shared" si="8"/>
        <v>-1847.97</v>
      </c>
    </row>
    <row r="18" spans="1:10" x14ac:dyDescent="0.3">
      <c r="A18">
        <v>1121.18</v>
      </c>
      <c r="B18">
        <f t="shared" si="0"/>
        <v>1121.18</v>
      </c>
      <c r="C18">
        <f t="shared" si="1"/>
        <v>1</v>
      </c>
      <c r="D18">
        <f t="shared" si="2"/>
        <v>1257044.5924000002</v>
      </c>
      <c r="E18">
        <f t="shared" si="3"/>
        <v>1121.18</v>
      </c>
      <c r="F18">
        <f t="shared" si="4"/>
        <v>1121.18</v>
      </c>
      <c r="G18">
        <f t="shared" si="5"/>
        <v>1121.18</v>
      </c>
      <c r="H18">
        <f t="shared" si="6"/>
        <v>1121</v>
      </c>
      <c r="I18">
        <f t="shared" si="7"/>
        <v>2.1800000000000637</v>
      </c>
      <c r="J18">
        <f t="shared" si="8"/>
        <v>373.72666666666669</v>
      </c>
    </row>
    <row r="19" spans="1:10" x14ac:dyDescent="0.3">
      <c r="A19">
        <v>110202</v>
      </c>
      <c r="B19">
        <f t="shared" si="0"/>
        <v>110202</v>
      </c>
      <c r="C19">
        <f t="shared" si="1"/>
        <v>1</v>
      </c>
      <c r="D19">
        <f t="shared" si="2"/>
        <v>12144480804</v>
      </c>
      <c r="E19">
        <f t="shared" si="3"/>
        <v>110202</v>
      </c>
      <c r="F19">
        <f t="shared" si="4"/>
        <v>110202</v>
      </c>
      <c r="G19">
        <f t="shared" si="5"/>
        <v>110202</v>
      </c>
      <c r="H19">
        <f t="shared" si="6"/>
        <v>110202</v>
      </c>
      <c r="I19">
        <f t="shared" si="7"/>
        <v>0</v>
      </c>
      <c r="J19">
        <f t="shared" si="8"/>
        <v>36734</v>
      </c>
    </row>
    <row r="20" spans="1:10" x14ac:dyDescent="0.3">
      <c r="A20">
        <v>2102.0500000000002</v>
      </c>
      <c r="B20">
        <f t="shared" si="0"/>
        <v>2102.0500000000002</v>
      </c>
      <c r="C20">
        <f t="shared" si="1"/>
        <v>1</v>
      </c>
      <c r="D20">
        <f t="shared" si="2"/>
        <v>4418614.2025000006</v>
      </c>
      <c r="E20">
        <f t="shared" si="3"/>
        <v>2102.0500000000002</v>
      </c>
      <c r="F20">
        <f t="shared" si="4"/>
        <v>2102.0500000000002</v>
      </c>
      <c r="G20">
        <f t="shared" si="5"/>
        <v>2102.0500000000002</v>
      </c>
      <c r="H20">
        <f t="shared" si="6"/>
        <v>2102</v>
      </c>
      <c r="I20">
        <f t="shared" si="7"/>
        <v>2.0500000000001819</v>
      </c>
      <c r="J20">
        <f t="shared" si="8"/>
        <v>700.68333333333339</v>
      </c>
    </row>
    <row r="21" spans="1:10" x14ac:dyDescent="0.3">
      <c r="A21">
        <v>-111.18</v>
      </c>
      <c r="B21">
        <f t="shared" si="0"/>
        <v>111.18</v>
      </c>
      <c r="C21">
        <f t="shared" si="1"/>
        <v>-1</v>
      </c>
      <c r="D21">
        <f t="shared" si="2"/>
        <v>12360.992400000001</v>
      </c>
      <c r="E21">
        <f t="shared" si="3"/>
        <v>-111.18</v>
      </c>
      <c r="F21">
        <f t="shared" si="4"/>
        <v>-111.18</v>
      </c>
      <c r="G21">
        <f t="shared" si="5"/>
        <v>-111.18</v>
      </c>
      <c r="H21">
        <f t="shared" si="6"/>
        <v>-112</v>
      </c>
      <c r="I21">
        <f t="shared" si="7"/>
        <v>2.8199999999999932</v>
      </c>
      <c r="J21">
        <f t="shared" si="8"/>
        <v>-37.06</v>
      </c>
    </row>
    <row r="22" spans="1:10" x14ac:dyDescent="0.3">
      <c r="A22">
        <v>9751.5300000000007</v>
      </c>
      <c r="B22">
        <f t="shared" si="0"/>
        <v>9751.5300000000007</v>
      </c>
      <c r="C22">
        <f t="shared" si="1"/>
        <v>1</v>
      </c>
      <c r="D22">
        <f t="shared" si="2"/>
        <v>95092337.340900019</v>
      </c>
      <c r="E22">
        <f t="shared" si="3"/>
        <v>9751.5300000000007</v>
      </c>
      <c r="F22">
        <f t="shared" si="4"/>
        <v>9751.5300000000007</v>
      </c>
      <c r="G22">
        <f t="shared" si="5"/>
        <v>9751.5300000000007</v>
      </c>
      <c r="H22">
        <f t="shared" si="6"/>
        <v>9751</v>
      </c>
      <c r="I22">
        <f t="shared" si="7"/>
        <v>1.5300000000006548</v>
      </c>
      <c r="J22">
        <f t="shared" si="8"/>
        <v>3250.51</v>
      </c>
    </row>
    <row r="23" spans="1:10" x14ac:dyDescent="0.3">
      <c r="A23">
        <v>4567.82</v>
      </c>
      <c r="B23">
        <f t="shared" si="0"/>
        <v>4567.82</v>
      </c>
      <c r="C23">
        <f t="shared" si="1"/>
        <v>1</v>
      </c>
      <c r="D23">
        <f t="shared" si="2"/>
        <v>20864979.552399997</v>
      </c>
      <c r="E23">
        <f t="shared" si="3"/>
        <v>4567.82</v>
      </c>
      <c r="F23">
        <f t="shared" si="4"/>
        <v>4567.82</v>
      </c>
      <c r="G23">
        <f t="shared" si="5"/>
        <v>4567.82</v>
      </c>
      <c r="H23">
        <f t="shared" si="6"/>
        <v>4567</v>
      </c>
      <c r="I23">
        <f t="shared" si="7"/>
        <v>1.819999999999709</v>
      </c>
      <c r="J23">
        <f t="shared" si="8"/>
        <v>1522.6066666666666</v>
      </c>
    </row>
    <row r="24" spans="1:10" x14ac:dyDescent="0.3">
      <c r="A24">
        <v>-557.98</v>
      </c>
      <c r="B24">
        <f t="shared" si="0"/>
        <v>557.98</v>
      </c>
      <c r="C24">
        <f t="shared" si="1"/>
        <v>-1</v>
      </c>
      <c r="D24">
        <f t="shared" si="2"/>
        <v>311341.68040000001</v>
      </c>
      <c r="E24">
        <f t="shared" si="3"/>
        <v>-557.98</v>
      </c>
      <c r="F24">
        <f t="shared" si="4"/>
        <v>-557.98</v>
      </c>
      <c r="G24">
        <f t="shared" si="5"/>
        <v>-557.98</v>
      </c>
      <c r="H24">
        <f t="shared" si="6"/>
        <v>-558</v>
      </c>
      <c r="I24">
        <f t="shared" si="7"/>
        <v>1.999999999998181E-2</v>
      </c>
      <c r="J24">
        <f t="shared" si="8"/>
        <v>-185.99333333333334</v>
      </c>
    </row>
    <row r="25" spans="1:10" x14ac:dyDescent="0.3">
      <c r="A25">
        <v>50196</v>
      </c>
      <c r="B25">
        <f t="shared" si="0"/>
        <v>50196</v>
      </c>
      <c r="C25">
        <f t="shared" si="1"/>
        <v>1</v>
      </c>
      <c r="D25">
        <f t="shared" si="2"/>
        <v>2519638416</v>
      </c>
      <c r="E25">
        <f t="shared" si="3"/>
        <v>50196</v>
      </c>
      <c r="F25">
        <f t="shared" si="4"/>
        <v>50196</v>
      </c>
      <c r="G25">
        <f t="shared" si="5"/>
        <v>50196</v>
      </c>
      <c r="H25">
        <f t="shared" si="6"/>
        <v>50196</v>
      </c>
      <c r="I25">
        <f t="shared" si="7"/>
        <v>0</v>
      </c>
      <c r="J25">
        <f t="shared" si="8"/>
        <v>16732</v>
      </c>
    </row>
    <row r="26" spans="1:10" x14ac:dyDescent="0.3">
      <c r="A26">
        <v>-1402.25</v>
      </c>
      <c r="B26">
        <f t="shared" si="0"/>
        <v>1402.25</v>
      </c>
      <c r="C26">
        <f t="shared" si="1"/>
        <v>-1</v>
      </c>
      <c r="D26">
        <f t="shared" si="2"/>
        <v>1966305.0625</v>
      </c>
      <c r="E26">
        <f t="shared" si="3"/>
        <v>-1402.25</v>
      </c>
      <c r="F26">
        <f t="shared" si="4"/>
        <v>-1402.25</v>
      </c>
      <c r="G26">
        <f t="shared" si="5"/>
        <v>-1402.25</v>
      </c>
      <c r="H26">
        <f t="shared" si="6"/>
        <v>-1403</v>
      </c>
      <c r="I26">
        <f t="shared" si="7"/>
        <v>1.75</v>
      </c>
      <c r="J26">
        <f t="shared" si="8"/>
        <v>-467.41666666666669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D4C3-D009-4FDC-B59D-3B922849F575}">
  <dimension ref="A1:L11"/>
  <sheetViews>
    <sheetView workbookViewId="0">
      <selection activeCell="A27" sqref="A27"/>
    </sheetView>
  </sheetViews>
  <sheetFormatPr defaultRowHeight="14.4" x14ac:dyDescent="0.3"/>
  <cols>
    <col min="4" max="4" width="9.6640625" customWidth="1"/>
    <col min="6" max="6" width="10" customWidth="1"/>
    <col min="9" max="9" width="9.6640625" customWidth="1"/>
    <col min="10" max="10" width="10.6640625" customWidth="1"/>
    <col min="11" max="11" width="10.21875" customWidth="1"/>
  </cols>
  <sheetData>
    <row r="1" spans="1:12" x14ac:dyDescent="0.3">
      <c r="A1" t="s">
        <v>122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H1" t="s">
        <v>132</v>
      </c>
      <c r="I1" t="s">
        <v>133</v>
      </c>
      <c r="J1" t="s">
        <v>134</v>
      </c>
      <c r="K1" t="s">
        <v>134</v>
      </c>
      <c r="L1" t="s">
        <v>135</v>
      </c>
    </row>
    <row r="2" spans="1:12" x14ac:dyDescent="0.3">
      <c r="A2">
        <v>4</v>
      </c>
      <c r="B2" t="b">
        <f>ISODD(A2)</f>
        <v>0</v>
      </c>
      <c r="C2" t="b">
        <f>ISEVEN(A2)</f>
        <v>1</v>
      </c>
      <c r="D2" t="b">
        <f>ISNUMBER(A2)</f>
        <v>1</v>
      </c>
      <c r="E2" t="b">
        <f>ISBLANK(A2)</f>
        <v>0</v>
      </c>
      <c r="F2" t="b">
        <f>ISNONTEXT(A2)</f>
        <v>1</v>
      </c>
      <c r="H2">
        <v>0</v>
      </c>
      <c r="I2" t="b">
        <f>ISLOGICAL(H2)</f>
        <v>0</v>
      </c>
      <c r="J2" t="b">
        <f>_xlfn.ISFORMULA(H2)</f>
        <v>0</v>
      </c>
      <c r="K2" t="b">
        <f>_xlfn.ISFORMULA(I2)</f>
        <v>1</v>
      </c>
      <c r="L2" t="e" cm="1">
        <f t="array" aca="1" ref="L2" ca="1">SUN(A2:A3)</f>
        <v>#NAME?</v>
      </c>
    </row>
    <row r="3" spans="1:12" x14ac:dyDescent="0.3">
      <c r="A3">
        <v>15</v>
      </c>
      <c r="B3" t="b">
        <f t="shared" ref="B3:B8" si="0">ISODD(A3)</f>
        <v>1</v>
      </c>
      <c r="C3" t="b">
        <f t="shared" ref="C3:C8" si="1">ISEVEN(A3)</f>
        <v>0</v>
      </c>
      <c r="D3" t="b">
        <f t="shared" ref="D3:D11" si="2">ISNUMBER(A3)</f>
        <v>1</v>
      </c>
      <c r="E3" t="b">
        <f t="shared" ref="E3:E11" si="3">ISBLANK(A3)</f>
        <v>0</v>
      </c>
      <c r="F3" t="b">
        <f t="shared" ref="F3:F11" si="4">ISNONTEXT(A3)</f>
        <v>1</v>
      </c>
      <c r="H3" t="b">
        <v>1</v>
      </c>
      <c r="I3" t="b">
        <f t="shared" ref="I3:I10" si="5">ISLOGICAL(H3)</f>
        <v>1</v>
      </c>
      <c r="J3" t="b">
        <f t="shared" ref="J3:J10" si="6">_xlfn.ISFORMULA(H3)</f>
        <v>0</v>
      </c>
      <c r="K3" t="b">
        <f t="shared" ref="K3:K10" si="7">_xlfn.ISFORMULA(I3)</f>
        <v>1</v>
      </c>
      <c r="L3" t="e">
        <f>2/0</f>
        <v>#DIV/0!</v>
      </c>
    </row>
    <row r="4" spans="1:12" x14ac:dyDescent="0.3">
      <c r="A4">
        <v>14</v>
      </c>
      <c r="B4" t="b">
        <f t="shared" si="0"/>
        <v>0</v>
      </c>
      <c r="C4" t="b">
        <f t="shared" si="1"/>
        <v>1</v>
      </c>
      <c r="D4" t="b">
        <f t="shared" si="2"/>
        <v>1</v>
      </c>
      <c r="E4" t="b">
        <f t="shared" si="3"/>
        <v>0</v>
      </c>
      <c r="F4" t="b">
        <f t="shared" si="4"/>
        <v>1</v>
      </c>
      <c r="H4" t="s">
        <v>124</v>
      </c>
      <c r="I4" t="b">
        <f t="shared" si="5"/>
        <v>0</v>
      </c>
      <c r="J4" t="b">
        <f t="shared" si="6"/>
        <v>0</v>
      </c>
      <c r="K4" t="b">
        <f t="shared" si="7"/>
        <v>1</v>
      </c>
    </row>
    <row r="5" spans="1:12" x14ac:dyDescent="0.3">
      <c r="A5">
        <v>12</v>
      </c>
      <c r="B5" t="b">
        <f t="shared" si="0"/>
        <v>0</v>
      </c>
      <c r="C5" t="b">
        <f t="shared" si="1"/>
        <v>1</v>
      </c>
      <c r="D5" t="b">
        <f t="shared" si="2"/>
        <v>1</v>
      </c>
      <c r="E5" t="b">
        <f t="shared" si="3"/>
        <v>0</v>
      </c>
      <c r="F5" t="b">
        <f t="shared" si="4"/>
        <v>1</v>
      </c>
      <c r="H5" t="s">
        <v>125</v>
      </c>
      <c r="I5" t="b">
        <f t="shared" si="5"/>
        <v>0</v>
      </c>
      <c r="J5" t="b">
        <f t="shared" si="6"/>
        <v>0</v>
      </c>
      <c r="K5" t="b">
        <f t="shared" si="7"/>
        <v>1</v>
      </c>
    </row>
    <row r="6" spans="1:12" x14ac:dyDescent="0.3">
      <c r="A6">
        <v>2</v>
      </c>
      <c r="B6" t="b">
        <f t="shared" si="0"/>
        <v>0</v>
      </c>
      <c r="C6" t="b">
        <f t="shared" si="1"/>
        <v>1</v>
      </c>
      <c r="D6" t="b">
        <f t="shared" si="2"/>
        <v>1</v>
      </c>
      <c r="E6" t="b">
        <f t="shared" si="3"/>
        <v>0</v>
      </c>
      <c r="F6" t="b">
        <f t="shared" si="4"/>
        <v>1</v>
      </c>
      <c r="H6" t="b">
        <v>0</v>
      </c>
      <c r="I6" t="b">
        <f t="shared" si="5"/>
        <v>1</v>
      </c>
      <c r="J6" t="b">
        <f t="shared" si="6"/>
        <v>0</v>
      </c>
      <c r="K6" t="b">
        <f t="shared" si="7"/>
        <v>1</v>
      </c>
    </row>
    <row r="7" spans="1:12" x14ac:dyDescent="0.3">
      <c r="A7">
        <v>7</v>
      </c>
      <c r="B7" t="b">
        <f t="shared" si="0"/>
        <v>1</v>
      </c>
      <c r="C7" t="b">
        <f t="shared" si="1"/>
        <v>0</v>
      </c>
      <c r="D7" t="b">
        <f t="shared" si="2"/>
        <v>1</v>
      </c>
      <c r="E7" t="b">
        <f t="shared" si="3"/>
        <v>0</v>
      </c>
      <c r="F7" t="b">
        <f t="shared" si="4"/>
        <v>1</v>
      </c>
      <c r="H7">
        <v>1</v>
      </c>
      <c r="I7" t="b">
        <f t="shared" si="5"/>
        <v>0</v>
      </c>
      <c r="J7" t="b">
        <f t="shared" si="6"/>
        <v>0</v>
      </c>
      <c r="K7" t="b">
        <f t="shared" si="7"/>
        <v>1</v>
      </c>
    </row>
    <row r="8" spans="1:12" x14ac:dyDescent="0.3">
      <c r="A8">
        <v>9</v>
      </c>
      <c r="B8" t="b">
        <f t="shared" si="0"/>
        <v>1</v>
      </c>
      <c r="C8" t="b">
        <f t="shared" si="1"/>
        <v>0</v>
      </c>
      <c r="D8" t="b">
        <f t="shared" si="2"/>
        <v>1</v>
      </c>
      <c r="E8" t="b">
        <f t="shared" si="3"/>
        <v>0</v>
      </c>
      <c r="F8" t="b">
        <f t="shared" si="4"/>
        <v>1</v>
      </c>
      <c r="H8" t="b">
        <v>1</v>
      </c>
      <c r="I8" t="b">
        <f t="shared" si="5"/>
        <v>1</v>
      </c>
      <c r="J8" t="b">
        <f t="shared" si="6"/>
        <v>0</v>
      </c>
      <c r="K8" t="b">
        <f t="shared" si="7"/>
        <v>1</v>
      </c>
    </row>
    <row r="9" spans="1:12" x14ac:dyDescent="0.3">
      <c r="A9" t="s">
        <v>7</v>
      </c>
      <c r="D9" t="b">
        <f t="shared" si="2"/>
        <v>0</v>
      </c>
      <c r="E9" t="b">
        <f t="shared" si="3"/>
        <v>0</v>
      </c>
      <c r="F9" t="b">
        <f t="shared" si="4"/>
        <v>0</v>
      </c>
      <c r="H9" t="b">
        <v>0</v>
      </c>
      <c r="I9" t="b">
        <f t="shared" si="5"/>
        <v>1</v>
      </c>
      <c r="J9" t="b">
        <f t="shared" si="6"/>
        <v>0</v>
      </c>
      <c r="K9" t="b">
        <f t="shared" si="7"/>
        <v>1</v>
      </c>
    </row>
    <row r="10" spans="1:12" x14ac:dyDescent="0.3">
      <c r="D10" t="b">
        <f t="shared" si="2"/>
        <v>0</v>
      </c>
      <c r="E10" t="b">
        <f t="shared" si="3"/>
        <v>1</v>
      </c>
      <c r="F10" t="b">
        <f t="shared" si="4"/>
        <v>1</v>
      </c>
      <c r="H10" t="s">
        <v>126</v>
      </c>
      <c r="I10" t="b">
        <f t="shared" si="5"/>
        <v>0</v>
      </c>
      <c r="J10" t="b">
        <f t="shared" si="6"/>
        <v>0</v>
      </c>
      <c r="K10" t="b">
        <f t="shared" si="7"/>
        <v>1</v>
      </c>
    </row>
    <row r="11" spans="1:12" x14ac:dyDescent="0.3">
      <c r="A11" t="s">
        <v>123</v>
      </c>
      <c r="D11" t="b">
        <f t="shared" si="2"/>
        <v>0</v>
      </c>
      <c r="E11" t="b">
        <f t="shared" si="3"/>
        <v>0</v>
      </c>
      <c r="F11" t="b">
        <f t="shared" si="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16BF-B715-45F3-A14C-93939441BB89}">
  <dimension ref="A1:D30"/>
  <sheetViews>
    <sheetView topLeftCell="A34" zoomScale="69" workbookViewId="0">
      <selection activeCell="AC21" sqref="AC21"/>
    </sheetView>
  </sheetViews>
  <sheetFormatPr defaultRowHeight="14.4" x14ac:dyDescent="0.3"/>
  <sheetData>
    <row r="1" spans="1:2" x14ac:dyDescent="0.3">
      <c r="A1" t="s">
        <v>41</v>
      </c>
      <c r="B1" t="s">
        <v>93</v>
      </c>
    </row>
    <row r="2" spans="1:2" x14ac:dyDescent="0.3">
      <c r="A2" t="s">
        <v>44</v>
      </c>
      <c r="B2">
        <v>10</v>
      </c>
    </row>
    <row r="3" spans="1:2" x14ac:dyDescent="0.3">
      <c r="A3" t="s">
        <v>45</v>
      </c>
      <c r="B3">
        <v>20</v>
      </c>
    </row>
    <row r="4" spans="1:2" x14ac:dyDescent="0.3">
      <c r="A4" t="s">
        <v>46</v>
      </c>
      <c r="B4">
        <v>30</v>
      </c>
    </row>
    <row r="5" spans="1:2" x14ac:dyDescent="0.3">
      <c r="A5" t="s">
        <v>94</v>
      </c>
      <c r="B5">
        <v>15</v>
      </c>
    </row>
    <row r="6" spans="1:2" x14ac:dyDescent="0.3">
      <c r="A6" t="s">
        <v>95</v>
      </c>
      <c r="B6">
        <v>25</v>
      </c>
    </row>
    <row r="25" spans="1:4" x14ac:dyDescent="0.3">
      <c r="A25" t="s">
        <v>136</v>
      </c>
      <c r="B25" t="s">
        <v>137</v>
      </c>
      <c r="C25" t="s">
        <v>138</v>
      </c>
      <c r="D25" t="s">
        <v>139</v>
      </c>
    </row>
    <row r="26" spans="1:4" x14ac:dyDescent="0.3">
      <c r="A26" t="s">
        <v>140</v>
      </c>
      <c r="B26">
        <v>10</v>
      </c>
      <c r="C26">
        <v>45</v>
      </c>
      <c r="D26">
        <v>78</v>
      </c>
    </row>
    <row r="27" spans="1:4" x14ac:dyDescent="0.3">
      <c r="A27" t="s">
        <v>141</v>
      </c>
      <c r="B27">
        <v>20</v>
      </c>
      <c r="C27">
        <v>78</v>
      </c>
      <c r="D27">
        <v>96</v>
      </c>
    </row>
    <row r="28" spans="1:4" x14ac:dyDescent="0.3">
      <c r="A28" t="s">
        <v>142</v>
      </c>
      <c r="B28">
        <v>30</v>
      </c>
      <c r="C28">
        <v>31</v>
      </c>
      <c r="D28">
        <v>45</v>
      </c>
    </row>
    <row r="29" spans="1:4" x14ac:dyDescent="0.3">
      <c r="A29" t="s">
        <v>143</v>
      </c>
      <c r="B29">
        <v>40</v>
      </c>
      <c r="C29">
        <v>66</v>
      </c>
      <c r="D29">
        <v>12</v>
      </c>
    </row>
    <row r="30" spans="1:4" x14ac:dyDescent="0.3">
      <c r="A30" t="s">
        <v>144</v>
      </c>
      <c r="B30">
        <v>50</v>
      </c>
      <c r="C30">
        <v>97</v>
      </c>
      <c r="D30">
        <v>35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FFE1-C245-4659-8A6B-C2A91DFA34AB}">
  <dimension ref="A1:N30"/>
  <sheetViews>
    <sheetView zoomScale="79" workbookViewId="0">
      <selection activeCell="M28" sqref="M28"/>
    </sheetView>
  </sheetViews>
  <sheetFormatPr defaultRowHeight="14.4" x14ac:dyDescent="0.3"/>
  <cols>
    <col min="1" max="1" width="9.6640625" customWidth="1"/>
    <col min="2" max="2" width="11.33203125" customWidth="1"/>
  </cols>
  <sheetData>
    <row r="1" spans="1:14" x14ac:dyDescent="0.3">
      <c r="A1" t="s">
        <v>145</v>
      </c>
      <c r="B1" t="s">
        <v>146</v>
      </c>
    </row>
    <row r="2" spans="1:14" x14ac:dyDescent="0.3">
      <c r="A2" t="s">
        <v>147</v>
      </c>
      <c r="B2">
        <v>120000</v>
      </c>
    </row>
    <row r="3" spans="1:14" x14ac:dyDescent="0.3">
      <c r="A3" t="s">
        <v>148</v>
      </c>
      <c r="B3">
        <v>65200</v>
      </c>
    </row>
    <row r="4" spans="1:14" x14ac:dyDescent="0.3">
      <c r="A4" t="s">
        <v>149</v>
      </c>
      <c r="B4">
        <v>46520</v>
      </c>
      <c r="M4" t="s">
        <v>159</v>
      </c>
      <c r="N4" t="s">
        <v>160</v>
      </c>
    </row>
    <row r="5" spans="1:14" x14ac:dyDescent="0.3">
      <c r="A5" t="s">
        <v>150</v>
      </c>
      <c r="B5">
        <v>45512</v>
      </c>
      <c r="M5" t="s">
        <v>163</v>
      </c>
      <c r="N5">
        <v>54</v>
      </c>
    </row>
    <row r="6" spans="1:14" x14ac:dyDescent="0.3">
      <c r="A6" t="s">
        <v>151</v>
      </c>
      <c r="B6">
        <v>5541</v>
      </c>
      <c r="M6" t="s">
        <v>166</v>
      </c>
      <c r="N6">
        <v>56</v>
      </c>
    </row>
    <row r="7" spans="1:14" x14ac:dyDescent="0.3">
      <c r="A7" t="s">
        <v>152</v>
      </c>
      <c r="B7">
        <v>12335</v>
      </c>
      <c r="M7" t="s">
        <v>162</v>
      </c>
      <c r="N7">
        <v>60</v>
      </c>
    </row>
    <row r="8" spans="1:14" x14ac:dyDescent="0.3">
      <c r="A8" t="s">
        <v>153</v>
      </c>
      <c r="B8">
        <v>4112</v>
      </c>
      <c r="M8" t="s">
        <v>10</v>
      </c>
      <c r="N8">
        <v>70</v>
      </c>
    </row>
    <row r="9" spans="1:14" x14ac:dyDescent="0.3">
      <c r="M9" t="s">
        <v>165</v>
      </c>
      <c r="N9">
        <v>73</v>
      </c>
    </row>
    <row r="10" spans="1:14" x14ac:dyDescent="0.3">
      <c r="M10" t="s">
        <v>164</v>
      </c>
      <c r="N10">
        <v>81</v>
      </c>
    </row>
    <row r="11" spans="1:14" x14ac:dyDescent="0.3">
      <c r="M11" t="s">
        <v>9</v>
      </c>
      <c r="N11">
        <v>92</v>
      </c>
    </row>
    <row r="12" spans="1:14" x14ac:dyDescent="0.3">
      <c r="M12" t="s">
        <v>161</v>
      </c>
      <c r="N12">
        <v>93</v>
      </c>
    </row>
    <row r="13" spans="1:14" x14ac:dyDescent="0.3">
      <c r="M13" t="s">
        <v>7</v>
      </c>
      <c r="N13">
        <v>95</v>
      </c>
    </row>
    <row r="14" spans="1:14" x14ac:dyDescent="0.3">
      <c r="M14" t="s">
        <v>2</v>
      </c>
      <c r="N14">
        <v>99</v>
      </c>
    </row>
    <row r="21" spans="1:3" x14ac:dyDescent="0.3">
      <c r="A21" t="s">
        <v>24</v>
      </c>
      <c r="B21" t="s">
        <v>154</v>
      </c>
      <c r="C21" t="s">
        <v>25</v>
      </c>
    </row>
    <row r="22" spans="1:3" x14ac:dyDescent="0.3">
      <c r="A22" t="s">
        <v>155</v>
      </c>
      <c r="B22" t="s">
        <v>44</v>
      </c>
      <c r="C22">
        <v>1000</v>
      </c>
    </row>
    <row r="23" spans="1:3" x14ac:dyDescent="0.3">
      <c r="A23" t="s">
        <v>155</v>
      </c>
      <c r="B23" t="s">
        <v>45</v>
      </c>
      <c r="C23">
        <v>2000</v>
      </c>
    </row>
    <row r="24" spans="1:3" x14ac:dyDescent="0.3">
      <c r="A24" t="s">
        <v>155</v>
      </c>
      <c r="B24" t="s">
        <v>158</v>
      </c>
      <c r="C24">
        <v>2500</v>
      </c>
    </row>
    <row r="25" spans="1:3" x14ac:dyDescent="0.3">
      <c r="A25" t="s">
        <v>156</v>
      </c>
      <c r="B25" t="s">
        <v>44</v>
      </c>
      <c r="C25">
        <v>1400</v>
      </c>
    </row>
    <row r="26" spans="1:3" x14ac:dyDescent="0.3">
      <c r="A26" t="s">
        <v>156</v>
      </c>
      <c r="B26" t="s">
        <v>45</v>
      </c>
      <c r="C26">
        <v>1680</v>
      </c>
    </row>
    <row r="27" spans="1:3" x14ac:dyDescent="0.3">
      <c r="A27" t="s">
        <v>156</v>
      </c>
      <c r="B27" t="s">
        <v>46</v>
      </c>
      <c r="C27">
        <v>1247</v>
      </c>
    </row>
    <row r="28" spans="1:3" x14ac:dyDescent="0.3">
      <c r="A28" t="s">
        <v>157</v>
      </c>
      <c r="B28" t="s">
        <v>44</v>
      </c>
      <c r="C28">
        <v>950</v>
      </c>
    </row>
    <row r="29" spans="1:3" x14ac:dyDescent="0.3">
      <c r="A29" t="s">
        <v>157</v>
      </c>
      <c r="B29" t="s">
        <v>45</v>
      </c>
      <c r="C29">
        <v>785</v>
      </c>
    </row>
    <row r="30" spans="1:3" x14ac:dyDescent="0.3">
      <c r="A30" t="s">
        <v>157</v>
      </c>
      <c r="B30" t="s">
        <v>46</v>
      </c>
      <c r="C30">
        <v>746</v>
      </c>
    </row>
  </sheetData>
  <autoFilter ref="M4:N14" xr:uid="{B2DCFFE1-C245-4659-8A6B-C2A91DFA34AB}">
    <sortState xmlns:xlrd2="http://schemas.microsoft.com/office/spreadsheetml/2017/richdata2" ref="M5:N14">
      <sortCondition ref="N4:N14"/>
    </sortState>
  </autoFilter>
  <sortState xmlns:xlrd2="http://schemas.microsoft.com/office/spreadsheetml/2017/richdata2" ref="M5:N14">
    <sortCondition ref="M4:M14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298D-E322-4F86-946A-57288493EA4B}">
  <dimension ref="A1:C11"/>
  <sheetViews>
    <sheetView workbookViewId="0">
      <selection activeCell="D28" sqref="D28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167</v>
      </c>
      <c r="B1" t="s">
        <v>84</v>
      </c>
      <c r="C1" t="s">
        <v>85</v>
      </c>
    </row>
    <row r="2" spans="1:3" x14ac:dyDescent="0.3">
      <c r="A2" s="1">
        <v>46064</v>
      </c>
      <c r="B2">
        <v>90</v>
      </c>
      <c r="C2">
        <v>30</v>
      </c>
    </row>
    <row r="3" spans="1:3" x14ac:dyDescent="0.3">
      <c r="A3" s="1">
        <v>46065</v>
      </c>
      <c r="B3">
        <v>80</v>
      </c>
      <c r="C3">
        <v>60</v>
      </c>
    </row>
    <row r="4" spans="1:3" x14ac:dyDescent="0.3">
      <c r="A4" s="1">
        <v>46066</v>
      </c>
      <c r="B4">
        <v>95</v>
      </c>
      <c r="C4">
        <v>-40</v>
      </c>
    </row>
    <row r="5" spans="1:3" x14ac:dyDescent="0.3">
      <c r="A5" s="1">
        <v>46067</v>
      </c>
      <c r="B5">
        <v>75</v>
      </c>
      <c r="C5">
        <v>50</v>
      </c>
    </row>
    <row r="6" spans="1:3" x14ac:dyDescent="0.3">
      <c r="A6" s="1">
        <v>46068</v>
      </c>
      <c r="B6">
        <v>60</v>
      </c>
      <c r="C6">
        <v>-70</v>
      </c>
    </row>
    <row r="7" spans="1:3" x14ac:dyDescent="0.3">
      <c r="A7" s="1">
        <v>46069</v>
      </c>
      <c r="B7">
        <v>30</v>
      </c>
      <c r="C7">
        <v>45</v>
      </c>
    </row>
    <row r="8" spans="1:3" x14ac:dyDescent="0.3">
      <c r="A8" s="1">
        <v>46070</v>
      </c>
      <c r="B8">
        <v>55</v>
      </c>
      <c r="C8">
        <v>-20</v>
      </c>
    </row>
    <row r="9" spans="1:3" x14ac:dyDescent="0.3">
      <c r="A9" s="1">
        <v>46071</v>
      </c>
      <c r="B9">
        <v>33</v>
      </c>
      <c r="C9">
        <v>90</v>
      </c>
    </row>
    <row r="10" spans="1:3" x14ac:dyDescent="0.3">
      <c r="A10" s="1">
        <v>46072</v>
      </c>
      <c r="B10">
        <v>48</v>
      </c>
      <c r="C10">
        <v>75</v>
      </c>
    </row>
    <row r="11" spans="1:3" x14ac:dyDescent="0.3">
      <c r="A11" s="1">
        <v>46073</v>
      </c>
      <c r="B11">
        <v>59</v>
      </c>
      <c r="C11">
        <v>-51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55AF-9E80-4A5E-825A-D37A6FC7C8FA}">
  <dimension ref="A1:C5"/>
  <sheetViews>
    <sheetView workbookViewId="0">
      <selection activeCell="P4" sqref="P4"/>
    </sheetView>
  </sheetViews>
  <sheetFormatPr defaultRowHeight="14.4" x14ac:dyDescent="0.3"/>
  <sheetData>
    <row r="1" spans="1:3" x14ac:dyDescent="0.3">
      <c r="A1" t="s">
        <v>168</v>
      </c>
      <c r="B1" t="s">
        <v>84</v>
      </c>
      <c r="C1" t="s">
        <v>85</v>
      </c>
    </row>
    <row r="2" spans="1:3" x14ac:dyDescent="0.3">
      <c r="A2" t="s">
        <v>28</v>
      </c>
      <c r="B2">
        <v>55</v>
      </c>
      <c r="C2">
        <v>82</v>
      </c>
    </row>
    <row r="3" spans="1:3" x14ac:dyDescent="0.3">
      <c r="A3" t="s">
        <v>29</v>
      </c>
      <c r="B3">
        <v>60</v>
      </c>
      <c r="C3">
        <v>94</v>
      </c>
    </row>
    <row r="4" spans="1:3" x14ac:dyDescent="0.3">
      <c r="A4" t="s">
        <v>26</v>
      </c>
      <c r="B4">
        <v>72</v>
      </c>
      <c r="C4">
        <v>72</v>
      </c>
    </row>
    <row r="5" spans="1:3" x14ac:dyDescent="0.3">
      <c r="A5" t="s">
        <v>27</v>
      </c>
      <c r="B5">
        <v>82</v>
      </c>
      <c r="C5">
        <v>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10DF-D1A7-43EA-9528-23D39A637EA6}">
  <dimension ref="A1:B13"/>
  <sheetViews>
    <sheetView workbookViewId="0">
      <selection activeCell="F28" sqref="F28"/>
    </sheetView>
  </sheetViews>
  <sheetFormatPr defaultRowHeight="14.4" x14ac:dyDescent="0.3"/>
  <sheetData>
    <row r="1" spans="1:2" x14ac:dyDescent="0.3">
      <c r="A1" t="s">
        <v>136</v>
      </c>
      <c r="B1" t="s">
        <v>85</v>
      </c>
    </row>
    <row r="2" spans="1:2" x14ac:dyDescent="0.3">
      <c r="A2" t="s">
        <v>86</v>
      </c>
      <c r="B2">
        <v>250</v>
      </c>
    </row>
    <row r="3" spans="1:2" x14ac:dyDescent="0.3">
      <c r="A3" t="s">
        <v>87</v>
      </c>
      <c r="B3">
        <v>400</v>
      </c>
    </row>
    <row r="4" spans="1:2" x14ac:dyDescent="0.3">
      <c r="A4" t="s">
        <v>169</v>
      </c>
      <c r="B4">
        <v>-200</v>
      </c>
    </row>
    <row r="5" spans="1:2" x14ac:dyDescent="0.3">
      <c r="A5" t="s">
        <v>170</v>
      </c>
      <c r="B5">
        <v>400</v>
      </c>
    </row>
    <row r="6" spans="1:2" x14ac:dyDescent="0.3">
      <c r="A6" t="s">
        <v>171</v>
      </c>
      <c r="B6">
        <v>700</v>
      </c>
    </row>
    <row r="7" spans="1:2" x14ac:dyDescent="0.3">
      <c r="A7" t="s">
        <v>172</v>
      </c>
      <c r="B7">
        <v>-200</v>
      </c>
    </row>
    <row r="8" spans="1:2" x14ac:dyDescent="0.3">
      <c r="A8" t="s">
        <v>173</v>
      </c>
      <c r="B8">
        <v>500</v>
      </c>
    </row>
    <row r="9" spans="1:2" x14ac:dyDescent="0.3">
      <c r="A9" t="s">
        <v>174</v>
      </c>
      <c r="B9">
        <v>1000</v>
      </c>
    </row>
    <row r="10" spans="1:2" x14ac:dyDescent="0.3">
      <c r="A10" t="s">
        <v>175</v>
      </c>
      <c r="B10">
        <v>-400</v>
      </c>
    </row>
    <row r="11" spans="1:2" x14ac:dyDescent="0.3">
      <c r="A11" t="s">
        <v>176</v>
      </c>
      <c r="B11">
        <v>400</v>
      </c>
    </row>
    <row r="12" spans="1:2" x14ac:dyDescent="0.3">
      <c r="A12" t="s">
        <v>177</v>
      </c>
      <c r="B12">
        <v>200</v>
      </c>
    </row>
    <row r="13" spans="1:2" x14ac:dyDescent="0.3">
      <c r="A13" t="s">
        <v>178</v>
      </c>
      <c r="B13">
        <v>200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5A0F-4C63-4451-995B-94DA182FA8CB}">
  <dimension ref="A1:C5"/>
  <sheetViews>
    <sheetView workbookViewId="0">
      <selection activeCell="Q24" sqref="Q24"/>
    </sheetView>
  </sheetViews>
  <sheetFormatPr defaultRowHeight="14.4" x14ac:dyDescent="0.3"/>
  <sheetData>
    <row r="1" spans="1:3" x14ac:dyDescent="0.3">
      <c r="A1" t="s">
        <v>168</v>
      </c>
      <c r="B1" t="s">
        <v>84</v>
      </c>
      <c r="C1" t="s">
        <v>85</v>
      </c>
    </row>
    <row r="2" spans="1:3" x14ac:dyDescent="0.3">
      <c r="A2" t="s">
        <v>28</v>
      </c>
      <c r="B2">
        <v>55</v>
      </c>
      <c r="C2">
        <v>82</v>
      </c>
    </row>
    <row r="3" spans="1:3" x14ac:dyDescent="0.3">
      <c r="A3" t="s">
        <v>29</v>
      </c>
      <c r="B3">
        <v>60</v>
      </c>
      <c r="C3">
        <v>94</v>
      </c>
    </row>
    <row r="4" spans="1:3" x14ac:dyDescent="0.3">
      <c r="A4" t="s">
        <v>26</v>
      </c>
      <c r="B4">
        <v>72</v>
      </c>
      <c r="C4">
        <v>72</v>
      </c>
    </row>
    <row r="5" spans="1:3" x14ac:dyDescent="0.3">
      <c r="A5" t="s">
        <v>27</v>
      </c>
      <c r="B5">
        <v>82</v>
      </c>
      <c r="C5">
        <v>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24C0-3E5B-4B2A-BD30-BA81A8883C2B}">
  <dimension ref="A1:K30"/>
  <sheetViews>
    <sheetView topLeftCell="C33" zoomScale="79" zoomScaleNormal="130" workbookViewId="0">
      <selection sqref="A1:A1048576"/>
    </sheetView>
  </sheetViews>
  <sheetFormatPr defaultRowHeight="14.4" x14ac:dyDescent="0.3"/>
  <cols>
    <col min="1" max="1" width="16.33203125" bestFit="1" customWidth="1"/>
    <col min="2" max="2" width="6.21875" bestFit="1" customWidth="1"/>
    <col min="3" max="3" width="13.5546875" bestFit="1" customWidth="1"/>
    <col min="4" max="4" width="12.33203125" bestFit="1" customWidth="1"/>
    <col min="5" max="5" width="36.88671875" bestFit="1" customWidth="1"/>
    <col min="6" max="6" width="17.77734375" bestFit="1" customWidth="1"/>
    <col min="7" max="7" width="11.77734375" bestFit="1" customWidth="1"/>
    <col min="8" max="8" width="24.109375" bestFit="1" customWidth="1"/>
    <col min="9" max="9" width="12" bestFit="1" customWidth="1"/>
    <col min="10" max="10" width="32.21875" bestFit="1" customWidth="1"/>
    <col min="11" max="11" width="112.33203125" customWidth="1"/>
  </cols>
  <sheetData>
    <row r="1" spans="1:11" x14ac:dyDescent="0.3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</row>
    <row r="2" spans="1:11" x14ac:dyDescent="0.3">
      <c r="A2" s="5" t="s">
        <v>190</v>
      </c>
      <c r="B2" s="5" t="s">
        <v>191</v>
      </c>
      <c r="C2" s="5" t="s">
        <v>192</v>
      </c>
      <c r="D2" s="5" t="s">
        <v>193</v>
      </c>
      <c r="E2" s="5" t="s">
        <v>194</v>
      </c>
      <c r="F2" s="5" t="s">
        <v>195</v>
      </c>
      <c r="G2" s="1">
        <v>20760</v>
      </c>
      <c r="H2" s="5" t="s">
        <v>196</v>
      </c>
      <c r="I2" s="5" t="s">
        <v>197</v>
      </c>
      <c r="J2" s="5" t="s">
        <v>198</v>
      </c>
      <c r="K2" s="5" t="s">
        <v>199</v>
      </c>
    </row>
    <row r="3" spans="1:11" x14ac:dyDescent="0.3">
      <c r="A3" s="5" t="s">
        <v>200</v>
      </c>
      <c r="B3" s="5" t="s">
        <v>201</v>
      </c>
      <c r="C3" s="5" t="s">
        <v>202</v>
      </c>
      <c r="D3" s="5" t="s">
        <v>203</v>
      </c>
      <c r="E3" s="5" t="s">
        <v>204</v>
      </c>
      <c r="F3" s="5" t="s">
        <v>204</v>
      </c>
      <c r="G3" s="1">
        <v>31828</v>
      </c>
      <c r="H3" s="5" t="s">
        <v>205</v>
      </c>
      <c r="I3" s="5" t="s">
        <v>206</v>
      </c>
      <c r="J3" s="5" t="s">
        <v>207</v>
      </c>
      <c r="K3" s="5" t="s">
        <v>208</v>
      </c>
    </row>
    <row r="4" spans="1:11" x14ac:dyDescent="0.3">
      <c r="A4" s="5" t="s">
        <v>209</v>
      </c>
      <c r="B4" s="5" t="s">
        <v>210</v>
      </c>
      <c r="C4" s="5" t="s">
        <v>211</v>
      </c>
      <c r="D4" s="5" t="s">
        <v>203</v>
      </c>
      <c r="E4" s="5" t="s">
        <v>212</v>
      </c>
      <c r="F4" s="5" t="s">
        <v>213</v>
      </c>
      <c r="G4" s="1">
        <v>18289</v>
      </c>
      <c r="H4" s="5" t="s">
        <v>214</v>
      </c>
      <c r="I4" s="5" t="s">
        <v>215</v>
      </c>
      <c r="J4" s="5" t="s">
        <v>216</v>
      </c>
      <c r="K4" s="5" t="s">
        <v>217</v>
      </c>
    </row>
    <row r="5" spans="1:11" x14ac:dyDescent="0.3">
      <c r="A5" s="5" t="s">
        <v>218</v>
      </c>
      <c r="B5" s="5" t="s">
        <v>219</v>
      </c>
      <c r="C5" s="5" t="s">
        <v>220</v>
      </c>
      <c r="D5" s="5" t="s">
        <v>221</v>
      </c>
      <c r="E5" s="5" t="s">
        <v>222</v>
      </c>
      <c r="F5" s="5" t="s">
        <v>222</v>
      </c>
      <c r="G5" s="1">
        <v>18289</v>
      </c>
      <c r="H5" s="5" t="s">
        <v>223</v>
      </c>
      <c r="I5" s="5" t="s">
        <v>224</v>
      </c>
      <c r="J5" s="5" t="s">
        <v>225</v>
      </c>
      <c r="K5" s="5" t="s">
        <v>226</v>
      </c>
    </row>
    <row r="6" spans="1:11" x14ac:dyDescent="0.3">
      <c r="A6" s="5" t="s">
        <v>227</v>
      </c>
      <c r="B6" s="5" t="s">
        <v>228</v>
      </c>
      <c r="C6" s="5" t="s">
        <v>229</v>
      </c>
      <c r="D6" s="5" t="s">
        <v>230</v>
      </c>
      <c r="E6" s="5" t="s">
        <v>231</v>
      </c>
      <c r="F6" s="5" t="s">
        <v>231</v>
      </c>
      <c r="G6" s="1">
        <v>36831</v>
      </c>
      <c r="H6" s="5" t="s">
        <v>232</v>
      </c>
      <c r="I6" s="5" t="s">
        <v>233</v>
      </c>
      <c r="J6" s="5" t="s">
        <v>225</v>
      </c>
      <c r="K6" s="5" t="s">
        <v>234</v>
      </c>
    </row>
    <row r="7" spans="1:11" x14ac:dyDescent="0.3">
      <c r="A7" s="5" t="s">
        <v>235</v>
      </c>
      <c r="B7" s="5" t="s">
        <v>236</v>
      </c>
      <c r="C7" s="5" t="s">
        <v>237</v>
      </c>
      <c r="D7" s="5" t="s">
        <v>238</v>
      </c>
      <c r="E7" s="5" t="s">
        <v>239</v>
      </c>
      <c r="F7" s="5" t="s">
        <v>240</v>
      </c>
      <c r="G7" s="1">
        <v>31927</v>
      </c>
      <c r="H7" s="5" t="s">
        <v>241</v>
      </c>
      <c r="I7" s="5" t="s">
        <v>242</v>
      </c>
      <c r="J7" s="5" t="s">
        <v>243</v>
      </c>
      <c r="K7" s="5" t="s">
        <v>244</v>
      </c>
    </row>
    <row r="8" spans="1:11" x14ac:dyDescent="0.3">
      <c r="A8" s="5" t="s">
        <v>245</v>
      </c>
      <c r="B8" s="5" t="s">
        <v>246</v>
      </c>
      <c r="C8" s="5" t="s">
        <v>247</v>
      </c>
      <c r="D8" s="5" t="s">
        <v>238</v>
      </c>
      <c r="E8" s="5" t="s">
        <v>248</v>
      </c>
      <c r="F8" s="5" t="s">
        <v>249</v>
      </c>
      <c r="G8" s="1">
        <v>22037</v>
      </c>
      <c r="H8" s="5" t="s">
        <v>250</v>
      </c>
      <c r="I8" s="5" t="s">
        <v>251</v>
      </c>
      <c r="J8" s="5" t="s">
        <v>252</v>
      </c>
      <c r="K8" s="5" t="s">
        <v>208</v>
      </c>
    </row>
    <row r="9" spans="1:11" x14ac:dyDescent="0.3">
      <c r="A9" s="5" t="s">
        <v>253</v>
      </c>
      <c r="B9" s="5" t="s">
        <v>254</v>
      </c>
      <c r="C9" s="5" t="s">
        <v>255</v>
      </c>
      <c r="D9" s="5" t="s">
        <v>256</v>
      </c>
      <c r="E9" s="5" t="s">
        <v>257</v>
      </c>
      <c r="F9" s="5" t="s">
        <v>258</v>
      </c>
      <c r="G9" s="1">
        <v>24412</v>
      </c>
      <c r="H9" s="5" t="s">
        <v>259</v>
      </c>
      <c r="I9" s="5" t="s">
        <v>260</v>
      </c>
      <c r="J9" s="5" t="s">
        <v>225</v>
      </c>
      <c r="K9" s="5" t="s">
        <v>261</v>
      </c>
    </row>
    <row r="10" spans="1:11" x14ac:dyDescent="0.3">
      <c r="A10" s="5" t="s">
        <v>262</v>
      </c>
      <c r="B10" s="5" t="s">
        <v>263</v>
      </c>
      <c r="C10" s="5" t="s">
        <v>264</v>
      </c>
      <c r="D10" s="5" t="s">
        <v>256</v>
      </c>
      <c r="E10" s="5" t="s">
        <v>265</v>
      </c>
      <c r="F10" s="5" t="s">
        <v>266</v>
      </c>
      <c r="G10" s="1">
        <v>25958</v>
      </c>
      <c r="H10" s="5" t="s">
        <v>267</v>
      </c>
      <c r="I10" s="5" t="s">
        <v>268</v>
      </c>
      <c r="J10" s="5" t="s">
        <v>225</v>
      </c>
      <c r="K10" s="5" t="s">
        <v>269</v>
      </c>
    </row>
    <row r="11" spans="1:11" x14ac:dyDescent="0.3">
      <c r="A11" s="5" t="s">
        <v>270</v>
      </c>
      <c r="B11" s="5" t="s">
        <v>271</v>
      </c>
      <c r="C11" s="5" t="s">
        <v>272</v>
      </c>
      <c r="D11" s="5" t="s">
        <v>221</v>
      </c>
      <c r="E11" s="5" t="s">
        <v>273</v>
      </c>
      <c r="F11" s="5" t="s">
        <v>274</v>
      </c>
      <c r="G11" s="1">
        <v>36845</v>
      </c>
      <c r="H11" s="5" t="s">
        <v>275</v>
      </c>
      <c r="I11" s="5" t="s">
        <v>276</v>
      </c>
      <c r="J11" s="5" t="s">
        <v>225</v>
      </c>
      <c r="K11" s="5" t="s">
        <v>277</v>
      </c>
    </row>
    <row r="12" spans="1:11" x14ac:dyDescent="0.3">
      <c r="A12" s="5" t="s">
        <v>278</v>
      </c>
      <c r="B12" s="5" t="s">
        <v>279</v>
      </c>
      <c r="C12" s="5" t="s">
        <v>280</v>
      </c>
      <c r="D12" s="5" t="s">
        <v>193</v>
      </c>
      <c r="E12" s="5" t="s">
        <v>281</v>
      </c>
      <c r="F12" s="5" t="s">
        <v>281</v>
      </c>
      <c r="G12" s="1">
        <v>20760</v>
      </c>
      <c r="H12" s="5" t="s">
        <v>282</v>
      </c>
      <c r="I12" s="5" t="s">
        <v>283</v>
      </c>
      <c r="J12" s="5" t="s">
        <v>284</v>
      </c>
      <c r="K12" s="5" t="s">
        <v>208</v>
      </c>
    </row>
    <row r="13" spans="1:11" x14ac:dyDescent="0.3">
      <c r="A13" s="5" t="s">
        <v>285</v>
      </c>
      <c r="B13" s="5" t="s">
        <v>286</v>
      </c>
      <c r="C13" s="5" t="s">
        <v>287</v>
      </c>
      <c r="D13" s="5" t="s">
        <v>193</v>
      </c>
      <c r="E13" s="5" t="s">
        <v>288</v>
      </c>
      <c r="F13" s="5" t="s">
        <v>288</v>
      </c>
      <c r="G13" s="1">
        <v>20760</v>
      </c>
      <c r="H13" s="5" t="s">
        <v>289</v>
      </c>
      <c r="I13" s="5" t="s">
        <v>290</v>
      </c>
      <c r="J13" s="5" t="s">
        <v>291</v>
      </c>
      <c r="K13" s="5" t="s">
        <v>292</v>
      </c>
    </row>
    <row r="14" spans="1:11" x14ac:dyDescent="0.3">
      <c r="A14" s="5" t="s">
        <v>293</v>
      </c>
      <c r="B14" s="5" t="s">
        <v>294</v>
      </c>
      <c r="C14" s="5" t="s">
        <v>295</v>
      </c>
      <c r="D14" s="5" t="s">
        <v>230</v>
      </c>
      <c r="E14" s="5" t="s">
        <v>296</v>
      </c>
      <c r="F14" s="5" t="s">
        <v>297</v>
      </c>
      <c r="G14" s="1">
        <v>20760</v>
      </c>
      <c r="H14" s="5" t="s">
        <v>298</v>
      </c>
      <c r="I14" s="5" t="s">
        <v>299</v>
      </c>
      <c r="J14" s="5" t="s">
        <v>225</v>
      </c>
      <c r="K14" s="5" t="s">
        <v>208</v>
      </c>
    </row>
    <row r="15" spans="1:11" x14ac:dyDescent="0.3">
      <c r="A15" s="5" t="s">
        <v>300</v>
      </c>
      <c r="B15" s="5" t="s">
        <v>301</v>
      </c>
      <c r="C15" s="5" t="s">
        <v>302</v>
      </c>
      <c r="D15" s="5" t="s">
        <v>238</v>
      </c>
      <c r="E15" s="5" t="s">
        <v>303</v>
      </c>
      <c r="F15" s="5" t="s">
        <v>304</v>
      </c>
      <c r="G15" s="1">
        <v>22037</v>
      </c>
      <c r="H15" s="5" t="s">
        <v>305</v>
      </c>
      <c r="I15" s="5" t="s">
        <v>306</v>
      </c>
      <c r="J15" s="5" t="s">
        <v>244</v>
      </c>
      <c r="K15" s="5" t="s">
        <v>208</v>
      </c>
    </row>
    <row r="16" spans="1:11" x14ac:dyDescent="0.3">
      <c r="A16" s="5" t="s">
        <v>307</v>
      </c>
      <c r="B16" s="5" t="s">
        <v>308</v>
      </c>
      <c r="C16" s="5" t="s">
        <v>309</v>
      </c>
      <c r="D16" s="5" t="s">
        <v>203</v>
      </c>
      <c r="E16" s="5" t="s">
        <v>310</v>
      </c>
      <c r="F16" s="5" t="s">
        <v>310</v>
      </c>
      <c r="G16" s="1">
        <v>26319</v>
      </c>
      <c r="H16" s="5" t="s">
        <v>311</v>
      </c>
      <c r="I16" s="5" t="s">
        <v>312</v>
      </c>
      <c r="J16" s="5" t="s">
        <v>313</v>
      </c>
      <c r="K16" s="5" t="s">
        <v>207</v>
      </c>
    </row>
    <row r="17" spans="1:11" x14ac:dyDescent="0.3">
      <c r="A17" s="5" t="s">
        <v>314</v>
      </c>
      <c r="B17" s="5" t="s">
        <v>315</v>
      </c>
      <c r="C17" s="5" t="s">
        <v>316</v>
      </c>
      <c r="D17" s="5" t="s">
        <v>203</v>
      </c>
      <c r="E17" s="5" t="s">
        <v>317</v>
      </c>
      <c r="F17" s="5" t="s">
        <v>317</v>
      </c>
      <c r="G17" s="1">
        <v>26319</v>
      </c>
      <c r="H17" s="5" t="s">
        <v>318</v>
      </c>
      <c r="I17" s="5" t="s">
        <v>319</v>
      </c>
      <c r="J17" s="5" t="s">
        <v>207</v>
      </c>
      <c r="K17" s="5" t="s">
        <v>208</v>
      </c>
    </row>
    <row r="18" spans="1:11" x14ac:dyDescent="0.3">
      <c r="A18" s="5" t="s">
        <v>320</v>
      </c>
      <c r="B18" s="5" t="s">
        <v>321</v>
      </c>
      <c r="C18" s="5" t="s">
        <v>322</v>
      </c>
      <c r="D18" s="5" t="s">
        <v>203</v>
      </c>
      <c r="E18" s="5" t="s">
        <v>323</v>
      </c>
      <c r="F18" s="5" t="s">
        <v>323</v>
      </c>
      <c r="G18" s="1">
        <v>31828</v>
      </c>
      <c r="H18" s="5" t="s">
        <v>324</v>
      </c>
      <c r="I18" s="5" t="s">
        <v>325</v>
      </c>
      <c r="J18" s="5" t="s">
        <v>326</v>
      </c>
      <c r="K18" s="5" t="s">
        <v>208</v>
      </c>
    </row>
    <row r="19" spans="1:11" x14ac:dyDescent="0.3">
      <c r="A19" s="5" t="s">
        <v>327</v>
      </c>
      <c r="B19" s="5" t="s">
        <v>328</v>
      </c>
      <c r="C19" s="5" t="s">
        <v>329</v>
      </c>
      <c r="D19" s="5" t="s">
        <v>203</v>
      </c>
      <c r="E19" s="5" t="s">
        <v>330</v>
      </c>
      <c r="F19" s="5" t="s">
        <v>331</v>
      </c>
      <c r="G19" s="1">
        <v>23346</v>
      </c>
      <c r="H19" s="5" t="s">
        <v>332</v>
      </c>
      <c r="I19" s="5" t="s">
        <v>333</v>
      </c>
      <c r="J19" s="5" t="s">
        <v>207</v>
      </c>
      <c r="K19" s="5" t="s">
        <v>208</v>
      </c>
    </row>
    <row r="20" spans="1:11" x14ac:dyDescent="0.3">
      <c r="A20" s="5" t="s">
        <v>334</v>
      </c>
      <c r="B20" s="5" t="s">
        <v>335</v>
      </c>
      <c r="C20" s="5" t="s">
        <v>336</v>
      </c>
      <c r="D20" s="5" t="s">
        <v>221</v>
      </c>
      <c r="E20" s="5" t="s">
        <v>337</v>
      </c>
      <c r="F20" s="5" t="s">
        <v>337</v>
      </c>
      <c r="G20" s="1">
        <v>18289</v>
      </c>
      <c r="H20" s="5" t="s">
        <v>338</v>
      </c>
      <c r="I20" s="5" t="s">
        <v>339</v>
      </c>
      <c r="J20" s="5" t="s">
        <v>340</v>
      </c>
      <c r="K20" s="5" t="s">
        <v>208</v>
      </c>
    </row>
    <row r="21" spans="1:11" x14ac:dyDescent="0.3">
      <c r="A21" s="5" t="s">
        <v>341</v>
      </c>
      <c r="B21" s="5" t="s">
        <v>342</v>
      </c>
      <c r="C21" s="5" t="s">
        <v>343</v>
      </c>
      <c r="D21" s="5" t="s">
        <v>256</v>
      </c>
      <c r="E21" s="5" t="s">
        <v>257</v>
      </c>
      <c r="F21" s="5" t="s">
        <v>344</v>
      </c>
      <c r="G21" s="1">
        <v>24412</v>
      </c>
      <c r="H21" s="5" t="s">
        <v>345</v>
      </c>
      <c r="I21" s="5" t="s">
        <v>346</v>
      </c>
      <c r="J21" s="5" t="s">
        <v>347</v>
      </c>
      <c r="K21" s="5" t="s">
        <v>208</v>
      </c>
    </row>
    <row r="22" spans="1:11" x14ac:dyDescent="0.3">
      <c r="A22" s="5" t="s">
        <v>348</v>
      </c>
      <c r="B22" s="5" t="s">
        <v>349</v>
      </c>
      <c r="C22" s="5" t="s">
        <v>350</v>
      </c>
      <c r="D22" s="5" t="s">
        <v>256</v>
      </c>
      <c r="E22" s="5" t="s">
        <v>351</v>
      </c>
      <c r="F22" s="5" t="s">
        <v>351</v>
      </c>
      <c r="G22" s="1">
        <v>18289</v>
      </c>
      <c r="H22" s="5" t="s">
        <v>352</v>
      </c>
      <c r="I22" s="5" t="s">
        <v>353</v>
      </c>
      <c r="J22" s="5" t="s">
        <v>225</v>
      </c>
      <c r="K22" s="5" t="s">
        <v>207</v>
      </c>
    </row>
    <row r="23" spans="1:11" x14ac:dyDescent="0.3">
      <c r="A23" s="5" t="s">
        <v>354</v>
      </c>
      <c r="B23" s="5" t="s">
        <v>355</v>
      </c>
      <c r="C23" s="5" t="s">
        <v>356</v>
      </c>
      <c r="D23" s="5" t="s">
        <v>203</v>
      </c>
      <c r="E23" s="5" t="s">
        <v>357</v>
      </c>
      <c r="F23" s="5" t="s">
        <v>357</v>
      </c>
      <c r="G23" s="1">
        <v>27530</v>
      </c>
      <c r="H23" s="5" t="s">
        <v>358</v>
      </c>
      <c r="I23" s="5" t="s">
        <v>359</v>
      </c>
      <c r="J23" s="5" t="s">
        <v>360</v>
      </c>
      <c r="K23" s="5" t="s">
        <v>361</v>
      </c>
    </row>
    <row r="24" spans="1:11" x14ac:dyDescent="0.3">
      <c r="A24" s="5" t="s">
        <v>362</v>
      </c>
      <c r="B24" s="5" t="s">
        <v>363</v>
      </c>
      <c r="C24" s="5" t="s">
        <v>364</v>
      </c>
      <c r="D24" s="5" t="s">
        <v>193</v>
      </c>
      <c r="E24" s="5" t="s">
        <v>365</v>
      </c>
      <c r="F24" s="5" t="s">
        <v>365</v>
      </c>
      <c r="G24" s="1">
        <v>20760</v>
      </c>
      <c r="H24" s="5" t="s">
        <v>366</v>
      </c>
      <c r="I24" s="5" t="s">
        <v>367</v>
      </c>
      <c r="J24" s="5" t="s">
        <v>368</v>
      </c>
      <c r="K24" s="5" t="s">
        <v>207</v>
      </c>
    </row>
    <row r="25" spans="1:11" x14ac:dyDescent="0.3">
      <c r="A25" s="5" t="s">
        <v>369</v>
      </c>
      <c r="B25" s="5" t="s">
        <v>370</v>
      </c>
      <c r="C25" s="5" t="s">
        <v>371</v>
      </c>
      <c r="D25" s="5" t="s">
        <v>193</v>
      </c>
      <c r="E25" s="5" t="s">
        <v>372</v>
      </c>
      <c r="F25" s="5" t="s">
        <v>372</v>
      </c>
      <c r="G25" s="1">
        <v>41792</v>
      </c>
      <c r="H25" s="5" t="s">
        <v>373</v>
      </c>
      <c r="I25" s="5" t="s">
        <v>374</v>
      </c>
      <c r="J25" s="5" t="s">
        <v>198</v>
      </c>
      <c r="K25" s="5" t="s">
        <v>375</v>
      </c>
    </row>
    <row r="26" spans="1:11" x14ac:dyDescent="0.3">
      <c r="A26" s="5" t="s">
        <v>376</v>
      </c>
      <c r="B26" s="5" t="s">
        <v>377</v>
      </c>
      <c r="C26" s="5" t="s">
        <v>378</v>
      </c>
      <c r="D26" s="5" t="s">
        <v>203</v>
      </c>
      <c r="E26" s="5" t="s">
        <v>379</v>
      </c>
      <c r="F26" s="5" t="s">
        <v>379</v>
      </c>
      <c r="G26" s="1">
        <v>26319</v>
      </c>
      <c r="H26" s="5" t="s">
        <v>380</v>
      </c>
      <c r="I26" s="5" t="s">
        <v>381</v>
      </c>
      <c r="J26" s="5" t="s">
        <v>382</v>
      </c>
      <c r="K26" s="5" t="s">
        <v>208</v>
      </c>
    </row>
    <row r="27" spans="1:11" x14ac:dyDescent="0.3">
      <c r="A27" s="5" t="s">
        <v>383</v>
      </c>
      <c r="B27" s="5" t="s">
        <v>384</v>
      </c>
      <c r="C27" s="5" t="s">
        <v>385</v>
      </c>
      <c r="D27" s="5" t="s">
        <v>230</v>
      </c>
      <c r="E27" s="5" t="s">
        <v>386</v>
      </c>
      <c r="F27" s="5" t="s">
        <v>386</v>
      </c>
      <c r="G27" s="1">
        <v>18289</v>
      </c>
      <c r="H27" s="5" t="s">
        <v>387</v>
      </c>
      <c r="I27" s="5" t="s">
        <v>388</v>
      </c>
      <c r="J27" s="5" t="s">
        <v>225</v>
      </c>
      <c r="K27" s="5" t="s">
        <v>226</v>
      </c>
    </row>
    <row r="28" spans="1:11" x14ac:dyDescent="0.3">
      <c r="A28" s="5" t="s">
        <v>389</v>
      </c>
      <c r="B28" s="5" t="s">
        <v>390</v>
      </c>
      <c r="C28" s="5" t="s">
        <v>58</v>
      </c>
      <c r="D28" s="5" t="s">
        <v>230</v>
      </c>
      <c r="E28" s="5" t="s">
        <v>391</v>
      </c>
      <c r="F28" s="5" t="s">
        <v>392</v>
      </c>
      <c r="G28" s="1">
        <v>36839</v>
      </c>
      <c r="H28" s="5" t="s">
        <v>393</v>
      </c>
      <c r="I28" s="5" t="s">
        <v>394</v>
      </c>
      <c r="J28" s="5" t="s">
        <v>225</v>
      </c>
      <c r="K28" s="5" t="s">
        <v>395</v>
      </c>
    </row>
    <row r="29" spans="1:11" x14ac:dyDescent="0.3">
      <c r="A29" s="5" t="s">
        <v>396</v>
      </c>
      <c r="B29" s="5" t="s">
        <v>397</v>
      </c>
      <c r="C29" s="5" t="s">
        <v>398</v>
      </c>
      <c r="D29" s="5" t="s">
        <v>221</v>
      </c>
      <c r="E29" s="5" t="s">
        <v>399</v>
      </c>
      <c r="F29" s="5" t="s">
        <v>399</v>
      </c>
      <c r="G29" s="1">
        <v>18289</v>
      </c>
      <c r="H29" s="5" t="s">
        <v>400</v>
      </c>
      <c r="I29" s="5" t="s">
        <v>401</v>
      </c>
      <c r="J29" s="5" t="s">
        <v>402</v>
      </c>
      <c r="K29" s="5" t="s">
        <v>403</v>
      </c>
    </row>
    <row r="30" spans="1:11" x14ac:dyDescent="0.3">
      <c r="A30" s="5" t="s">
        <v>404</v>
      </c>
      <c r="B30" s="5" t="s">
        <v>405</v>
      </c>
      <c r="C30" s="5" t="s">
        <v>405</v>
      </c>
      <c r="D30" s="5" t="s">
        <v>405</v>
      </c>
      <c r="E30" s="5" t="s">
        <v>405</v>
      </c>
      <c r="F30" s="5" t="s">
        <v>405</v>
      </c>
      <c r="G30" s="1"/>
      <c r="H30" s="5" t="s">
        <v>406</v>
      </c>
      <c r="I30" s="5" t="s">
        <v>407</v>
      </c>
      <c r="J30" s="5" t="s">
        <v>405</v>
      </c>
      <c r="K30" s="5" t="s">
        <v>405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9E94-B974-428C-9A63-633C79D3515B}">
  <dimension ref="A1:H25"/>
  <sheetViews>
    <sheetView workbookViewId="0">
      <selection activeCell="D11" sqref="D11"/>
    </sheetView>
  </sheetViews>
  <sheetFormatPr defaultRowHeight="14.4" x14ac:dyDescent="0.3"/>
  <cols>
    <col min="1" max="1" width="11.44140625" customWidth="1"/>
    <col min="2" max="2" width="14.6640625" customWidth="1"/>
    <col min="3" max="3" width="23.44140625" customWidth="1"/>
    <col min="4" max="4" width="29.109375" customWidth="1"/>
    <col min="5" max="5" width="24.21875" customWidth="1"/>
    <col min="7" max="7" width="15.77734375" customWidth="1"/>
    <col min="8" max="8" width="16.21875" customWidth="1"/>
  </cols>
  <sheetData>
    <row r="1" spans="1:8" x14ac:dyDescent="0.3">
      <c r="A1" t="s">
        <v>408</v>
      </c>
      <c r="B1" t="s">
        <v>160</v>
      </c>
      <c r="C1">
        <v>2</v>
      </c>
      <c r="E1" s="6" t="s">
        <v>433</v>
      </c>
      <c r="H1" s="6" t="s">
        <v>434</v>
      </c>
    </row>
    <row r="2" spans="1:8" x14ac:dyDescent="0.3">
      <c r="A2" t="s">
        <v>409</v>
      </c>
      <c r="B2">
        <v>80</v>
      </c>
      <c r="C2" t="s">
        <v>432</v>
      </c>
      <c r="E2" t="str" cm="1">
        <f t="array" ref="E2:F25">IF(C1=1,_xlfn._xlws.SORT(A2:B25,2,-1),_xlfn._xlws.SORT(A2:B25,2,1))</f>
        <v>Lenuka</v>
      </c>
      <c r="F2">
        <v>35</v>
      </c>
      <c r="H2" t="str">
        <f>IF(C1=1,"Top 10 Students","Bottom 10 Students")</f>
        <v>Bottom 10 Students</v>
      </c>
    </row>
    <row r="3" spans="1:8" x14ac:dyDescent="0.3">
      <c r="A3" t="s">
        <v>410</v>
      </c>
      <c r="B3">
        <v>76</v>
      </c>
      <c r="E3" t="str">
        <v>Jebina</v>
      </c>
      <c r="F3">
        <v>38</v>
      </c>
    </row>
    <row r="4" spans="1:8" x14ac:dyDescent="0.3">
      <c r="A4" t="s">
        <v>411</v>
      </c>
      <c r="B4">
        <v>56</v>
      </c>
      <c r="E4" t="str">
        <v>Aruna</v>
      </c>
      <c r="F4">
        <v>45</v>
      </c>
    </row>
    <row r="5" spans="1:8" x14ac:dyDescent="0.3">
      <c r="A5" t="s">
        <v>412</v>
      </c>
      <c r="B5">
        <v>88</v>
      </c>
      <c r="E5" t="str">
        <v>Dharshini</v>
      </c>
      <c r="F5">
        <v>48</v>
      </c>
    </row>
    <row r="6" spans="1:8" x14ac:dyDescent="0.3">
      <c r="A6" t="s">
        <v>413</v>
      </c>
      <c r="B6">
        <v>90</v>
      </c>
      <c r="E6" t="str">
        <v>Manthra</v>
      </c>
      <c r="F6">
        <v>50</v>
      </c>
    </row>
    <row r="7" spans="1:8" x14ac:dyDescent="0.3">
      <c r="A7" t="s">
        <v>414</v>
      </c>
      <c r="B7">
        <v>45</v>
      </c>
      <c r="E7" t="str">
        <v>Parvathi</v>
      </c>
      <c r="F7">
        <v>51</v>
      </c>
    </row>
    <row r="8" spans="1:8" x14ac:dyDescent="0.3">
      <c r="A8" t="s">
        <v>415</v>
      </c>
      <c r="B8">
        <v>62</v>
      </c>
      <c r="E8" t="str">
        <v>Indhu</v>
      </c>
      <c r="F8">
        <v>55</v>
      </c>
    </row>
    <row r="9" spans="1:8" x14ac:dyDescent="0.3">
      <c r="A9" t="s">
        <v>162</v>
      </c>
      <c r="B9">
        <v>70</v>
      </c>
      <c r="E9" t="str">
        <v>Abiwin</v>
      </c>
      <c r="F9">
        <v>56</v>
      </c>
    </row>
    <row r="10" spans="1:8" x14ac:dyDescent="0.3">
      <c r="A10" t="s">
        <v>416</v>
      </c>
      <c r="B10">
        <v>59</v>
      </c>
      <c r="E10" t="str">
        <v>Sweety</v>
      </c>
      <c r="F10">
        <v>59</v>
      </c>
    </row>
    <row r="11" spans="1:8" x14ac:dyDescent="0.3">
      <c r="A11" t="s">
        <v>417</v>
      </c>
      <c r="B11">
        <v>66</v>
      </c>
      <c r="E11" t="str">
        <v>Divya</v>
      </c>
      <c r="F11">
        <v>62</v>
      </c>
    </row>
    <row r="12" spans="1:8" x14ac:dyDescent="0.3">
      <c r="A12" t="s">
        <v>418</v>
      </c>
      <c r="B12">
        <v>95</v>
      </c>
      <c r="E12" t="str">
        <v>Kanjana</v>
      </c>
      <c r="F12">
        <v>63</v>
      </c>
    </row>
    <row r="13" spans="1:8" x14ac:dyDescent="0.3">
      <c r="A13" t="s">
        <v>419</v>
      </c>
      <c r="B13">
        <v>55</v>
      </c>
      <c r="E13" t="str">
        <v>Kalai</v>
      </c>
      <c r="F13">
        <v>65</v>
      </c>
    </row>
    <row r="14" spans="1:8" x14ac:dyDescent="0.3">
      <c r="A14" t="s">
        <v>420</v>
      </c>
      <c r="B14">
        <v>38</v>
      </c>
      <c r="E14" t="str">
        <v>Sowndharya</v>
      </c>
      <c r="F14">
        <v>65</v>
      </c>
    </row>
    <row r="15" spans="1:8" x14ac:dyDescent="0.3">
      <c r="A15" t="s">
        <v>421</v>
      </c>
      <c r="B15">
        <v>65</v>
      </c>
      <c r="E15" t="str">
        <v>Maha</v>
      </c>
      <c r="F15">
        <v>66</v>
      </c>
    </row>
    <row r="16" spans="1:8" x14ac:dyDescent="0.3">
      <c r="A16" t="s">
        <v>422</v>
      </c>
      <c r="B16">
        <v>72</v>
      </c>
      <c r="E16" t="str">
        <v>Asha</v>
      </c>
      <c r="F16">
        <v>70</v>
      </c>
    </row>
    <row r="17" spans="1:6" x14ac:dyDescent="0.3">
      <c r="A17" t="s">
        <v>423</v>
      </c>
      <c r="B17">
        <v>71</v>
      </c>
      <c r="E17" t="str">
        <v>Kaviya</v>
      </c>
      <c r="F17">
        <v>71</v>
      </c>
    </row>
    <row r="18" spans="1:6" x14ac:dyDescent="0.3">
      <c r="A18" t="s">
        <v>424</v>
      </c>
      <c r="B18">
        <v>63</v>
      </c>
      <c r="E18" t="str">
        <v>Kanish</v>
      </c>
      <c r="F18">
        <v>72</v>
      </c>
    </row>
    <row r="19" spans="1:6" x14ac:dyDescent="0.3">
      <c r="A19" t="s">
        <v>425</v>
      </c>
      <c r="B19">
        <v>51</v>
      </c>
      <c r="E19" t="str">
        <v>Abinaya</v>
      </c>
      <c r="F19">
        <v>76</v>
      </c>
    </row>
    <row r="20" spans="1:6" x14ac:dyDescent="0.3">
      <c r="A20" t="s">
        <v>426</v>
      </c>
      <c r="B20">
        <v>35</v>
      </c>
      <c r="E20" t="str">
        <v>Maharasi</v>
      </c>
      <c r="F20">
        <v>79</v>
      </c>
    </row>
    <row r="21" spans="1:6" x14ac:dyDescent="0.3">
      <c r="A21" t="s">
        <v>427</v>
      </c>
      <c r="B21">
        <v>79</v>
      </c>
      <c r="E21" t="str">
        <v>Aarthi</v>
      </c>
      <c r="F21">
        <v>80</v>
      </c>
    </row>
    <row r="22" spans="1:6" x14ac:dyDescent="0.3">
      <c r="A22" t="s">
        <v>428</v>
      </c>
      <c r="B22">
        <v>84</v>
      </c>
      <c r="E22" t="str">
        <v>Jebila</v>
      </c>
      <c r="F22">
        <v>84</v>
      </c>
    </row>
    <row r="23" spans="1:6" x14ac:dyDescent="0.3">
      <c r="A23" t="s">
        <v>429</v>
      </c>
      <c r="B23">
        <v>50</v>
      </c>
      <c r="E23" t="str">
        <v>Poorni</v>
      </c>
      <c r="F23">
        <v>88</v>
      </c>
    </row>
    <row r="24" spans="1:6" x14ac:dyDescent="0.3">
      <c r="A24" t="s">
        <v>430</v>
      </c>
      <c r="B24">
        <v>48</v>
      </c>
      <c r="E24" t="str">
        <v>Neethiyal</v>
      </c>
      <c r="F24">
        <v>90</v>
      </c>
    </row>
    <row r="25" spans="1:6" x14ac:dyDescent="0.3">
      <c r="A25" t="s">
        <v>431</v>
      </c>
      <c r="B25">
        <v>65</v>
      </c>
      <c r="E25" t="str">
        <v>Haritha</v>
      </c>
      <c r="F25">
        <v>95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42" r:id="rId3" name="Option Button 6">
              <controlPr defaultSize="0" autoFill="0" autoLine="0" autoPict="0">
                <anchor moveWithCells="1">
                  <from>
                    <xdr:col>3</xdr:col>
                    <xdr:colOff>845820</xdr:colOff>
                    <xdr:row>3</xdr:row>
                    <xdr:rowOff>91440</xdr:rowOff>
                  </from>
                  <to>
                    <xdr:col>4</xdr:col>
                    <xdr:colOff>678180</xdr:colOff>
                    <xdr:row>5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4" name="Option Button 7">
              <controlPr defaultSize="0" autoFill="0" autoLine="0" autoPict="0">
                <anchor moveWithCells="1">
                  <from>
                    <xdr:col>3</xdr:col>
                    <xdr:colOff>838200</xdr:colOff>
                    <xdr:row>5</xdr:row>
                    <xdr:rowOff>137160</xdr:rowOff>
                  </from>
                  <to>
                    <xdr:col>4</xdr:col>
                    <xdr:colOff>403860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43FA-EFE8-4E4C-A0E3-F7BDBDCD63A2}">
  <dimension ref="A1:C6"/>
  <sheetViews>
    <sheetView topLeftCell="A14" workbookViewId="0">
      <selection sqref="A1:C6"/>
    </sheetView>
  </sheetViews>
  <sheetFormatPr defaultRowHeight="14.4" x14ac:dyDescent="0.3"/>
  <sheetData>
    <row r="1" spans="1:3" x14ac:dyDescent="0.3">
      <c r="A1" t="s">
        <v>435</v>
      </c>
      <c r="B1" t="s">
        <v>436</v>
      </c>
      <c r="C1" t="s">
        <v>437</v>
      </c>
    </row>
    <row r="2" spans="1:3" x14ac:dyDescent="0.3">
      <c r="A2">
        <v>5</v>
      </c>
      <c r="B2">
        <v>8</v>
      </c>
      <c r="C2">
        <v>3</v>
      </c>
    </row>
    <row r="3" spans="1:3" x14ac:dyDescent="0.3">
      <c r="A3">
        <v>9</v>
      </c>
      <c r="B3">
        <v>11</v>
      </c>
      <c r="C3">
        <v>5</v>
      </c>
    </row>
    <row r="4" spans="1:3" x14ac:dyDescent="0.3">
      <c r="A4">
        <v>7</v>
      </c>
      <c r="B4">
        <v>4</v>
      </c>
      <c r="C4">
        <v>7</v>
      </c>
    </row>
    <row r="5" spans="1:3" x14ac:dyDescent="0.3">
      <c r="A5">
        <v>12</v>
      </c>
      <c r="B5">
        <v>8</v>
      </c>
      <c r="C5">
        <v>9</v>
      </c>
    </row>
    <row r="6" spans="1:3" x14ac:dyDescent="0.3">
      <c r="A6">
        <v>6</v>
      </c>
      <c r="B6">
        <v>5</v>
      </c>
      <c r="C6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089-5842-4337-9BA1-B04172A84A0D}">
  <dimension ref="A1:C3"/>
  <sheetViews>
    <sheetView tabSelected="1" zoomScale="88" workbookViewId="0">
      <selection activeCell="O17" sqref="O17"/>
    </sheetView>
  </sheetViews>
  <sheetFormatPr defaultRowHeight="14.4" x14ac:dyDescent="0.3"/>
  <sheetData>
    <row r="1" spans="1:3" x14ac:dyDescent="0.3">
      <c r="A1" t="s">
        <v>435</v>
      </c>
      <c r="B1" t="s">
        <v>436</v>
      </c>
      <c r="C1" t="s">
        <v>437</v>
      </c>
    </row>
    <row r="2" spans="1:3" x14ac:dyDescent="0.3">
      <c r="A2">
        <v>5</v>
      </c>
      <c r="B2">
        <v>8</v>
      </c>
      <c r="C2">
        <v>3</v>
      </c>
    </row>
    <row r="3" spans="1:3" x14ac:dyDescent="0.3">
      <c r="A3">
        <v>9</v>
      </c>
      <c r="B3">
        <v>11</v>
      </c>
      <c r="C3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38E5B-AE0D-4AA4-AA04-19C1162B95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Date&amp;Time</vt:lpstr>
      <vt:lpstr>String</vt:lpstr>
      <vt:lpstr>IF AND IFS</vt:lpstr>
      <vt:lpstr>Lookupvalue</vt:lpstr>
      <vt:lpstr>numerical</vt:lpstr>
      <vt:lpstr>IS FORMULAS</vt:lpstr>
      <vt:lpstr>Bar and Column bars</vt:lpstr>
      <vt:lpstr>Hierarchical chart</vt:lpstr>
      <vt:lpstr>Line and Area </vt:lpstr>
      <vt:lpstr>Pie chart</vt:lpstr>
      <vt:lpstr>waterfall chart</vt:lpstr>
      <vt:lpstr>Combo</vt:lpstr>
      <vt:lpstr>Maps transform</vt:lpstr>
      <vt:lpstr>Buttons</vt:lpstr>
      <vt:lpstr>Scatter chart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Krishnan</dc:creator>
  <cp:lastModifiedBy>Haritha Krishnan</cp:lastModifiedBy>
  <dcterms:created xsi:type="dcterms:W3CDTF">2026-02-04T03:17:20Z</dcterms:created>
  <dcterms:modified xsi:type="dcterms:W3CDTF">2026-02-19T02:53:18Z</dcterms:modified>
</cp:coreProperties>
</file>